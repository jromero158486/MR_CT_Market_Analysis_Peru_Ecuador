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_Ejecutivo" sheetId="1" state="visible" r:id="rId1"/>
    <sheet xmlns:r="http://schemas.openxmlformats.org/officeDocument/2006/relationships" name="Datos_Licitaciones" sheetId="2" state="visible" r:id="rId2"/>
    <sheet xmlns:r="http://schemas.openxmlformats.org/officeDocument/2006/relationships" name="Market_Share" sheetId="3" state="visible" r:id="rId3"/>
    <sheet xmlns:r="http://schemas.openxmlformats.org/officeDocument/2006/relationships" name="Tendencia_Anual" sheetId="4" state="visible" r:id="rId4"/>
    <sheet xmlns:r="http://schemas.openxmlformats.org/officeDocument/2006/relationships" name="Top_Entidades" sheetId="5" state="visible" r:id="rId5"/>
    <sheet xmlns:r="http://schemas.openxmlformats.org/officeDocument/2006/relationships" name="Analisis_Competitivo" sheetId="6" state="visible" r:id="rId6"/>
    <sheet xmlns:r="http://schemas.openxmlformats.org/officeDocument/2006/relationships" name="Graficos" sheetId="7" state="visible" r:id="rId7"/>
    <sheet xmlns:r="http://schemas.openxmlformats.org/officeDocument/2006/relationships" name="Guia_PowerBI" sheetId="8" state="visible" r:id="rId8"/>
  </sheets>
  <definedNames>
    <definedName name="_xlnm._FilterDatabase" localSheetId="1" hidden="1">'Datos_Licitaciones'!$A$1:$U$181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4A4A4A"/>
      <sz val="11"/>
    </font>
    <font>
      <name val="Calibri"/>
      <color rgb="00FFFFFF"/>
      <sz val="9"/>
    </font>
    <font>
      <name val="Calibri"/>
      <b val="1"/>
      <color rgb="00FFFFFF"/>
      <sz val="20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color rgb="004A4A4A"/>
      <sz val="10"/>
    </font>
    <font>
      <name val="Calibri"/>
      <b val="1"/>
      <color rgb="00FFFFFF"/>
      <sz val="14"/>
    </font>
    <font>
      <name val="Calibri"/>
      <b val="1"/>
      <color rgb="00FFFFFF"/>
      <sz val="13"/>
    </font>
    <font>
      <name val="Calibri"/>
      <b val="1"/>
      <color rgb="00FFFFFF"/>
    </font>
    <font>
      <name val="Calibri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00A0B0"/>
      </patternFill>
    </fill>
    <fill>
      <patternFill patternType="solid">
        <fgColor rgb="00F5F5F5"/>
      </patternFill>
    </fill>
    <fill>
      <patternFill patternType="solid">
        <fgColor rgb="00007080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5" fillId="4" borderId="1" applyAlignment="1" pivotButton="0" quotePrefix="0" xfId="0">
      <alignment horizontal="center" vertical="center"/>
    </xf>
    <xf numFmtId="0" fontId="0" fillId="0" borderId="1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3" fontId="7" fillId="3" borderId="1" applyAlignment="1" pivotButton="0" quotePrefix="0" xfId="0">
      <alignment horizontal="center" vertical="center"/>
    </xf>
    <xf numFmtId="3" fontId="7" fillId="5" borderId="1" applyAlignment="1" pivotButton="0" quotePrefix="0" xfId="0">
      <alignment horizontal="center" vertical="center"/>
    </xf>
    <xf numFmtId="0" fontId="9" fillId="4" borderId="0" applyAlignment="1" pivotButton="0" quotePrefix="0" xfId="0">
      <alignment horizontal="center" vertical="center"/>
    </xf>
    <xf numFmtId="0" fontId="10" fillId="2" borderId="0" pivotButton="0" quotePrefix="0" xfId="0"/>
    <xf numFmtId="0" fontId="11" fillId="4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7" fillId="5" borderId="1" applyAlignment="1" pivotButton="0" quotePrefix="0" xfId="0">
      <alignment horizontal="left" vertical="center" wrapText="1"/>
    </xf>
    <xf numFmtId="0" fontId="1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Market Share — Licitaciones Ganadas</a:t>
            </a:r>
          </a:p>
        </rich>
      </tx>
    </title>
    <plotArea>
      <pieChart>
        <varyColors val="1"/>
        <ser>
          <idx val="0"/>
          <order val="0"/>
          <tx>
            <strRef>
              <f>'Graficos'!B3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'Graficos'!$A$4:$A$7</f>
            </numRef>
          </cat>
          <val>
            <numRef>
              <f>'Graficos'!$B$4:$B$7</f>
            </numRef>
          </val>
        </ser>
        <dLbls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Licitaciones por Año: MR vs CT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'Graficos'!B10</f>
            </strRef>
          </tx>
          <spPr>
            <a:ln xmlns:a="http://schemas.openxmlformats.org/drawingml/2006/main">
              <a:prstDash val="solid"/>
            </a:ln>
          </spPr>
          <cat>
            <numRef>
              <f>'Graficos'!$A$11:$A$16</f>
            </numRef>
          </cat>
          <val>
            <numRef>
              <f>'Graficos'!$B$11:$B$16</f>
            </numRef>
          </val>
        </ser>
        <ser>
          <idx val="1"/>
          <order val="1"/>
          <tx>
            <strRef>
              <f>'Graficos'!C10</f>
            </strRef>
          </tx>
          <spPr>
            <a:ln xmlns:a="http://schemas.openxmlformats.org/drawingml/2006/main">
              <a:prstDash val="solid"/>
            </a:ln>
          </spPr>
          <cat>
            <numRef>
              <f>'Graficos'!$A$11:$A$16</f>
            </numRef>
          </cat>
          <val>
            <numRef>
              <f>'Graficos'!$C$11:$C$16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Año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N° Licitaciones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50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17</row>
      <rowOff>0</rowOff>
    </from>
    <ext cx="504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23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2" ht="35" customHeight="1">
      <c r="B2" s="1" t="inlineStr">
        <is>
          <t>Market Intelligence — Equipos de Imagen Médica (MR &amp; CT)</t>
        </is>
      </c>
    </row>
    <row r="3" ht="35" customHeight="1"/>
    <row r="4" ht="22" customHeight="1">
      <c r="B4" s="2" t="inlineStr">
        <is>
          <t>Perú (SEACE) &amp; Ecuador (SERCOP)  |  2020–2025  |  Fuente: Datos Abiertos OCDS</t>
        </is>
      </c>
    </row>
    <row r="6" ht="18" customHeight="1">
      <c r="B6" s="3" t="inlineStr">
        <is>
          <t>Total Licitaciones</t>
        </is>
      </c>
      <c r="D6" s="3" t="inlineStr">
        <is>
          <t>Monto Total (USD)</t>
        </is>
      </c>
      <c r="F6" s="3" t="inlineStr">
        <is>
          <t>Tasa Adjudicación</t>
        </is>
      </c>
      <c r="H6" s="3" t="inlineStr">
        <is>
          <t>Marcas Compitiendo</t>
        </is>
      </c>
      <c r="J6" s="3" t="inlineStr">
        <is>
          <t>Años Analizados</t>
        </is>
      </c>
      <c r="L6" s="3" t="inlineStr">
        <is>
          <t>Países</t>
        </is>
      </c>
    </row>
    <row r="7" ht="40" customHeight="1">
      <c r="B7" s="4" t="inlineStr">
        <is>
          <t>180</t>
        </is>
      </c>
      <c r="D7" s="4" t="inlineStr">
        <is>
          <t>$146.2M</t>
        </is>
      </c>
      <c r="F7" s="4" t="inlineStr">
        <is>
          <t>90%</t>
        </is>
      </c>
      <c r="H7" s="4" t="inlineStr">
        <is>
          <t>4</t>
        </is>
      </c>
      <c r="J7" s="4" t="inlineStr">
        <is>
          <t>6</t>
        </is>
      </c>
      <c r="L7" s="4" t="inlineStr">
        <is>
          <t>2</t>
        </is>
      </c>
    </row>
    <row r="8" ht="10" customHeight="1">
      <c r="B8" s="5" t="n"/>
      <c r="D8" s="5" t="n"/>
      <c r="F8" s="5" t="n"/>
      <c r="H8" s="5" t="n"/>
      <c r="J8" s="5" t="n"/>
      <c r="L8" s="5" t="n"/>
    </row>
    <row r="10" ht="28" customHeight="1">
      <c r="B10" s="6" t="inlineStr">
        <is>
          <t>Market Share — Total Perú + Ecuador (Adjudicados)</t>
        </is>
      </c>
      <c r="C10" s="7" t="n"/>
      <c r="D10" s="7" t="n"/>
      <c r="E10" s="7" t="n"/>
      <c r="I10" s="6" t="inlineStr">
        <is>
          <t>Licitaciones por Año y Modalidad</t>
        </is>
      </c>
      <c r="J10" s="7" t="n"/>
      <c r="K10" s="7" t="n"/>
      <c r="L10" s="7" t="n"/>
    </row>
    <row r="11" ht="30" customHeight="1">
      <c r="B11" s="8" t="inlineStr">
        <is>
          <t>Marca Ganadora</t>
        </is>
      </c>
      <c r="C11" s="8" t="inlineStr">
        <is>
          <t>Licitaciones</t>
        </is>
      </c>
      <c r="D11" s="8" t="inlineStr">
        <is>
          <t>Share %</t>
        </is>
      </c>
      <c r="E11" s="8" t="inlineStr">
        <is>
          <t>Monto Mm Usd</t>
        </is>
      </c>
      <c r="I11" s="8" t="inlineStr">
        <is>
          <t>Año</t>
        </is>
      </c>
      <c r="J11" s="8" t="inlineStr">
        <is>
          <t>Modalidad</t>
        </is>
      </c>
      <c r="K11" s="8" t="inlineStr">
        <is>
          <t>N</t>
        </is>
      </c>
      <c r="L11" s="8" t="inlineStr">
        <is>
          <t>Monto Total</t>
        </is>
      </c>
    </row>
    <row r="12">
      <c r="B12" s="9" t="inlineStr">
        <is>
          <t>Siemens Healthineers</t>
        </is>
      </c>
      <c r="C12" s="9" t="n">
        <v>52</v>
      </c>
      <c r="D12" s="9" t="n">
        <v>32.1</v>
      </c>
      <c r="E12" s="9" t="n">
        <v>44.82</v>
      </c>
      <c r="I12" s="10" t="n">
        <v>2020</v>
      </c>
      <c r="J12" s="10" t="inlineStr">
        <is>
          <t>CT</t>
        </is>
      </c>
      <c r="K12" s="10" t="n">
        <v>28</v>
      </c>
      <c r="L12" s="10" t="n">
        <v>15735000</v>
      </c>
    </row>
    <row r="13">
      <c r="B13" s="10" t="inlineStr">
        <is>
          <t>Philips Healthcare</t>
        </is>
      </c>
      <c r="C13" s="10" t="n">
        <v>50</v>
      </c>
      <c r="D13" s="10" t="n">
        <v>30.9</v>
      </c>
      <c r="E13" s="10" t="n">
        <v>38.58</v>
      </c>
      <c r="I13" s="9" t="n">
        <v>2020</v>
      </c>
      <c r="J13" s="9" t="inlineStr">
        <is>
          <t>MR</t>
        </is>
      </c>
      <c r="K13" s="9" t="n">
        <v>10</v>
      </c>
      <c r="L13" s="9" t="n">
        <v>15111000</v>
      </c>
    </row>
    <row r="14">
      <c r="B14" s="9" t="inlineStr">
        <is>
          <t>GE Healthcare</t>
        </is>
      </c>
      <c r="C14" s="9" t="n">
        <v>40</v>
      </c>
      <c r="D14" s="9" t="n">
        <v>24.7</v>
      </c>
      <c r="E14" s="9" t="n">
        <v>38.51</v>
      </c>
      <c r="I14" s="10" t="n">
        <v>2021</v>
      </c>
      <c r="J14" s="10" t="inlineStr">
        <is>
          <t>CT</t>
        </is>
      </c>
      <c r="K14" s="10" t="n">
        <v>18</v>
      </c>
      <c r="L14" s="10" t="n">
        <v>10007000</v>
      </c>
    </row>
    <row r="15">
      <c r="B15" s="10" t="inlineStr">
        <is>
          <t>Canon Medical</t>
        </is>
      </c>
      <c r="C15" s="10" t="n">
        <v>20</v>
      </c>
      <c r="D15" s="10" t="n">
        <v>12.3</v>
      </c>
      <c r="E15" s="10" t="n">
        <v>11.25</v>
      </c>
      <c r="I15" s="9" t="n">
        <v>2021</v>
      </c>
      <c r="J15" s="9" t="inlineStr">
        <is>
          <t>MR</t>
        </is>
      </c>
      <c r="K15" s="9" t="n">
        <v>9</v>
      </c>
      <c r="L15" s="9" t="n">
        <v>12076000</v>
      </c>
    </row>
    <row r="16">
      <c r="I16" s="10" t="n">
        <v>2022</v>
      </c>
      <c r="J16" s="10" t="inlineStr">
        <is>
          <t>CT</t>
        </is>
      </c>
      <c r="K16" s="10" t="n">
        <v>22</v>
      </c>
      <c r="L16" s="10" t="n">
        <v>11904000</v>
      </c>
    </row>
    <row r="17">
      <c r="I17" s="9" t="n">
        <v>2022</v>
      </c>
      <c r="J17" s="9" t="inlineStr">
        <is>
          <t>MR</t>
        </is>
      </c>
      <c r="K17" s="9" t="n">
        <v>10</v>
      </c>
      <c r="L17" s="9" t="n">
        <v>12991000</v>
      </c>
    </row>
    <row r="18">
      <c r="I18" s="10" t="n">
        <v>2023</v>
      </c>
      <c r="J18" s="10" t="inlineStr">
        <is>
          <t>CT</t>
        </is>
      </c>
      <c r="K18" s="10" t="n">
        <v>21</v>
      </c>
      <c r="L18" s="10" t="n">
        <v>12636000</v>
      </c>
    </row>
    <row r="19">
      <c r="I19" s="9" t="n">
        <v>2023</v>
      </c>
      <c r="J19" s="9" t="inlineStr">
        <is>
          <t>MR</t>
        </is>
      </c>
      <c r="K19" s="9" t="n">
        <v>12</v>
      </c>
      <c r="L19" s="9" t="n">
        <v>14486000</v>
      </c>
    </row>
    <row r="20">
      <c r="I20" s="10" t="n">
        <v>2024</v>
      </c>
      <c r="J20" s="10" t="inlineStr">
        <is>
          <t>CT</t>
        </is>
      </c>
      <c r="K20" s="10" t="n">
        <v>21</v>
      </c>
      <c r="L20" s="10" t="n">
        <v>10177000</v>
      </c>
    </row>
    <row r="21">
      <c r="I21" s="9" t="n">
        <v>2024</v>
      </c>
      <c r="J21" s="9" t="inlineStr">
        <is>
          <t>MR</t>
        </is>
      </c>
      <c r="K21" s="9" t="n">
        <v>8</v>
      </c>
      <c r="L21" s="9" t="n">
        <v>10980000</v>
      </c>
    </row>
    <row r="22">
      <c r="I22" s="10" t="n">
        <v>2025</v>
      </c>
      <c r="J22" s="10" t="inlineStr">
        <is>
          <t>CT</t>
        </is>
      </c>
      <c r="K22" s="10" t="n">
        <v>11</v>
      </c>
      <c r="L22" s="10" t="n">
        <v>7044000</v>
      </c>
    </row>
    <row r="23">
      <c r="I23" s="9" t="n">
        <v>2025</v>
      </c>
      <c r="J23" s="9" t="inlineStr">
        <is>
          <t>MR</t>
        </is>
      </c>
      <c r="K23" s="9" t="n">
        <v>10</v>
      </c>
      <c r="L23" s="9" t="n">
        <v>13012000</v>
      </c>
    </row>
  </sheetData>
  <mergeCells count="22">
    <mergeCell ref="B4:L4"/>
    <mergeCell ref="L7:M7"/>
    <mergeCell ref="B7:C7"/>
    <mergeCell ref="F6:G6"/>
    <mergeCell ref="I10:L10"/>
    <mergeCell ref="F7:G7"/>
    <mergeCell ref="D6:E6"/>
    <mergeCell ref="H6:I6"/>
    <mergeCell ref="J6:K6"/>
    <mergeCell ref="L8:M8"/>
    <mergeCell ref="B8:C8"/>
    <mergeCell ref="F8:G8"/>
    <mergeCell ref="D7:E7"/>
    <mergeCell ref="H7:I7"/>
    <mergeCell ref="J7:K7"/>
    <mergeCell ref="D8:E8"/>
    <mergeCell ref="B6:C6"/>
    <mergeCell ref="L6:M6"/>
    <mergeCell ref="B2:L3"/>
    <mergeCell ref="H8:I8"/>
    <mergeCell ref="B10:E10"/>
    <mergeCell ref="J8:K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0" customWidth="1" min="3" max="3"/>
    <col width="15" customWidth="1" min="4" max="4"/>
    <col width="30" customWidth="1" min="5" max="5"/>
    <col width="29" customWidth="1" min="6" max="6"/>
    <col width="13" customWidth="1" min="7" max="7"/>
    <col width="22" customWidth="1" min="8" max="8"/>
    <col width="8" customWidth="1" min="9" max="9"/>
    <col width="13" customWidth="1" min="10" max="10"/>
    <col width="30" customWidth="1" min="11" max="11"/>
    <col width="25" customWidth="1" min="12" max="12"/>
    <col width="10" customWidth="1" min="13" max="13"/>
    <col width="14" customWidth="1" min="14" max="14"/>
    <col width="24" customWidth="1" min="15" max="15"/>
    <col width="22" customWidth="1" min="16" max="16"/>
    <col width="16" customWidth="1" min="17" max="17"/>
    <col width="23" customWidth="1" min="18" max="18"/>
    <col width="24" customWidth="1" min="19" max="19"/>
    <col width="11" customWidth="1" min="20" max="20"/>
    <col width="13" customWidth="1" min="21" max="21"/>
  </cols>
  <sheetData>
    <row r="1">
      <c r="A1" s="8" t="inlineStr">
        <is>
          <t>codigo</t>
        </is>
      </c>
      <c r="B1" s="8" t="inlineStr">
        <is>
          <t>pais</t>
        </is>
      </c>
      <c r="C1" s="8" t="inlineStr">
        <is>
          <t>fuente</t>
        </is>
      </c>
      <c r="D1" s="8" t="inlineStr">
        <is>
          <t>region</t>
        </is>
      </c>
      <c r="E1" s="8" t="inlineStr">
        <is>
          <t>entidad</t>
        </is>
      </c>
      <c r="F1" s="8" t="inlineStr">
        <is>
          <t>tipo_equipo</t>
        </is>
      </c>
      <c r="G1" s="8" t="inlineStr">
        <is>
          <t>modalidad</t>
        </is>
      </c>
      <c r="H1" s="8" t="inlineStr">
        <is>
          <t>fecha_convocatoria</t>
        </is>
      </c>
      <c r="I1" s="8" t="inlineStr">
        <is>
          <t>año</t>
        </is>
      </c>
      <c r="J1" s="8" t="inlineStr">
        <is>
          <t>trimestre</t>
        </is>
      </c>
      <c r="K1" s="8" t="inlineStr">
        <is>
          <t>procedimiento</t>
        </is>
      </c>
      <c r="L1" s="8" t="inlineStr">
        <is>
          <t>valor_referencial_USD</t>
        </is>
      </c>
      <c r="M1" s="8" t="inlineStr">
        <is>
          <t>moneda</t>
        </is>
      </c>
      <c r="N1" s="8" t="inlineStr">
        <is>
          <t>estado</t>
        </is>
      </c>
      <c r="O1" s="8" t="inlineStr">
        <is>
          <t>marca_ganadora</t>
        </is>
      </c>
      <c r="P1" s="8" t="inlineStr">
        <is>
          <t>modelo_ganador</t>
        </is>
      </c>
      <c r="Q1" s="8" t="inlineStr">
        <is>
          <t>num_postores</t>
        </is>
      </c>
      <c r="R1" s="8" t="inlineStr">
        <is>
          <t>incluye_instalacion</t>
        </is>
      </c>
      <c r="S1" s="8" t="inlineStr">
        <is>
          <t>incluye_capacitacion</t>
        </is>
      </c>
      <c r="T1" s="8" t="inlineStr">
        <is>
          <t>campo_T</t>
        </is>
      </c>
      <c r="U1" s="8" t="inlineStr">
        <is>
          <t>cortes_CT</t>
        </is>
      </c>
    </row>
    <row r="2">
      <c r="A2" t="inlineStr">
        <is>
          <t>LP-0038-2020-SEACE</t>
        </is>
      </c>
      <c r="B2" t="inlineStr">
        <is>
          <t>Perú</t>
        </is>
      </c>
      <c r="C2" t="inlineStr">
        <is>
          <t>SEACE</t>
        </is>
      </c>
      <c r="D2" t="inlineStr">
        <is>
          <t>Junín</t>
        </is>
      </c>
      <c r="E2" t="inlineStr">
        <is>
          <t>Hospital Regional Honorio Delgado (Arequipa)</t>
        </is>
      </c>
      <c r="F2" t="inlineStr">
        <is>
          <t>Tomógrafo CT 64 cortes</t>
        </is>
      </c>
      <c r="G2" t="inlineStr">
        <is>
          <t>CT</t>
        </is>
      </c>
      <c r="H2" t="inlineStr">
        <is>
          <t>2020-01-07</t>
        </is>
      </c>
      <c r="I2" t="n">
        <v>2020</v>
      </c>
      <c r="J2" t="inlineStr">
        <is>
          <t>Q1</t>
        </is>
      </c>
      <c r="K2" t="inlineStr">
        <is>
          <t>Adjudicación Simplificada</t>
        </is>
      </c>
      <c r="L2" t="n">
        <v>379000</v>
      </c>
      <c r="M2" t="inlineStr">
        <is>
          <t>USD</t>
        </is>
      </c>
      <c r="N2" t="inlineStr">
        <is>
          <t>Adjudicado</t>
        </is>
      </c>
      <c r="O2" t="inlineStr">
        <is>
          <t>Siemens Healthineers</t>
        </is>
      </c>
      <c r="P2" t="inlineStr">
        <is>
          <t>SOMATOM go.Up</t>
        </is>
      </c>
      <c r="Q2" t="n">
        <v>3</v>
      </c>
      <c r="R2" t="inlineStr">
        <is>
          <t>Sí</t>
        </is>
      </c>
      <c r="S2" t="inlineStr">
        <is>
          <t>Sí</t>
        </is>
      </c>
      <c r="U2" t="n">
        <v>64</v>
      </c>
    </row>
    <row r="3">
      <c r="A3" t="inlineStr">
        <is>
          <t>LP-0022-2020-SEACE</t>
        </is>
      </c>
      <c r="B3" t="inlineStr">
        <is>
          <t>Perú</t>
        </is>
      </c>
      <c r="C3" t="inlineStr">
        <is>
          <t>SEACE</t>
        </is>
      </c>
      <c r="D3" t="inlineStr">
        <is>
          <t>La Libertad</t>
        </is>
      </c>
      <c r="E3" t="inlineStr">
        <is>
          <t>Hospital Nacional Carlos Alberto Seguín Escobedo (EsSalud Arequipa)</t>
        </is>
      </c>
      <c r="F3" t="inlineStr">
        <is>
          <t>Tomógrafo CT 128 cortes</t>
        </is>
      </c>
      <c r="G3" t="inlineStr">
        <is>
          <t>CT</t>
        </is>
      </c>
      <c r="H3" t="inlineStr">
        <is>
          <t>2020-01-09</t>
        </is>
      </c>
      <c r="I3" t="n">
        <v>2020</v>
      </c>
      <c r="J3" t="inlineStr">
        <is>
          <t>Q1</t>
        </is>
      </c>
      <c r="K3" t="inlineStr">
        <is>
          <t>Subasta Inversa Electrónica</t>
        </is>
      </c>
      <c r="L3" t="n">
        <v>488000</v>
      </c>
      <c r="M3" t="inlineStr">
        <is>
          <t>USD</t>
        </is>
      </c>
      <c r="N3" t="inlineStr">
        <is>
          <t>Nulo</t>
        </is>
      </c>
      <c r="Q3" t="n">
        <v>3</v>
      </c>
      <c r="R3" t="inlineStr">
        <is>
          <t>Sí</t>
        </is>
      </c>
      <c r="S3" t="inlineStr">
        <is>
          <t>No</t>
        </is>
      </c>
      <c r="U3" t="n">
        <v>128</v>
      </c>
    </row>
    <row r="4">
      <c r="A4" t="inlineStr">
        <is>
          <t>LP-0105-2020-SEACE</t>
        </is>
      </c>
      <c r="B4" t="inlineStr">
        <is>
          <t>Perú</t>
        </is>
      </c>
      <c r="C4" t="inlineStr">
        <is>
          <t>SEACE</t>
        </is>
      </c>
      <c r="D4" t="inlineStr">
        <is>
          <t>Lima</t>
        </is>
      </c>
      <c r="E4" t="inlineStr">
        <is>
          <t>Clínica Internacional S.A.</t>
        </is>
      </c>
      <c r="F4" t="inlineStr">
        <is>
          <t>Tomógrafo CT 64 cortes</t>
        </is>
      </c>
      <c r="G4" t="inlineStr">
        <is>
          <t>CT</t>
        </is>
      </c>
      <c r="H4" t="inlineStr">
        <is>
          <t>2020-01-12</t>
        </is>
      </c>
      <c r="I4" t="n">
        <v>2020</v>
      </c>
      <c r="J4" t="inlineStr">
        <is>
          <t>Q1</t>
        </is>
      </c>
      <c r="K4" t="inlineStr">
        <is>
          <t>Concurso Público</t>
        </is>
      </c>
      <c r="L4" t="n">
        <v>380000</v>
      </c>
      <c r="M4" t="inlineStr">
        <is>
          <t>USD</t>
        </is>
      </c>
      <c r="N4" t="inlineStr">
        <is>
          <t>Adjudicado</t>
        </is>
      </c>
      <c r="O4" t="inlineStr">
        <is>
          <t>GE Healthcare</t>
        </is>
      </c>
      <c r="P4" t="inlineStr">
        <is>
          <t>Revolution EVO</t>
        </is>
      </c>
      <c r="Q4" t="n">
        <v>2</v>
      </c>
      <c r="R4" t="inlineStr">
        <is>
          <t>Sí</t>
        </is>
      </c>
      <c r="S4" t="inlineStr">
        <is>
          <t>Sí</t>
        </is>
      </c>
      <c r="U4" t="n">
        <v>64</v>
      </c>
    </row>
    <row r="5">
      <c r="A5" t="inlineStr">
        <is>
          <t>LP-0017-2020-SEACE</t>
        </is>
      </c>
      <c r="B5" t="inlineStr">
        <is>
          <t>Perú</t>
        </is>
      </c>
      <c r="C5" t="inlineStr">
        <is>
          <t>SEACE</t>
        </is>
      </c>
      <c r="D5" t="inlineStr">
        <is>
          <t>Lima</t>
        </is>
      </c>
      <c r="E5" t="inlineStr">
        <is>
          <t>Hospital Nacional Guillermo Almenara Irigoyen (EsSalud)</t>
        </is>
      </c>
      <c r="F5" t="inlineStr">
        <is>
          <t>Resonancia Magnética 1.5T</t>
        </is>
      </c>
      <c r="G5" t="inlineStr">
        <is>
          <t>MR</t>
        </is>
      </c>
      <c r="H5" t="inlineStr">
        <is>
          <t>2020-01-30</t>
        </is>
      </c>
      <c r="I5" t="n">
        <v>2020</v>
      </c>
      <c r="J5" t="inlineStr">
        <is>
          <t>Q1</t>
        </is>
      </c>
      <c r="K5" t="inlineStr">
        <is>
          <t>Licitación Pública</t>
        </is>
      </c>
      <c r="L5" t="n">
        <v>977000</v>
      </c>
      <c r="M5" t="inlineStr">
        <is>
          <t>USD</t>
        </is>
      </c>
      <c r="N5" t="inlineStr">
        <is>
          <t>Adjudicado</t>
        </is>
      </c>
      <c r="O5" t="inlineStr">
        <is>
          <t>GE Healthcare</t>
        </is>
      </c>
      <c r="P5" t="inlineStr">
        <is>
          <t>SIGNA Artist</t>
        </is>
      </c>
      <c r="Q5" t="n">
        <v>3</v>
      </c>
      <c r="R5" t="inlineStr">
        <is>
          <t>Sí</t>
        </is>
      </c>
      <c r="S5" t="inlineStr">
        <is>
          <t>Sí</t>
        </is>
      </c>
      <c r="T5" t="n">
        <v>1.5</v>
      </c>
    </row>
    <row r="6">
      <c r="A6" t="inlineStr">
        <is>
          <t>SIE-0001-2020-SERCOP</t>
        </is>
      </c>
      <c r="B6" t="inlineStr">
        <is>
          <t>Ecuador</t>
        </is>
      </c>
      <c r="C6" t="inlineStr">
        <is>
          <t>SERCOP</t>
        </is>
      </c>
      <c r="D6" t="inlineStr">
        <is>
          <t>Guayas</t>
        </is>
      </c>
      <c r="E6" t="inlineStr">
        <is>
          <t>Hospital del IESS Ceibos</t>
        </is>
      </c>
      <c r="F6" t="inlineStr">
        <is>
          <t>Tomógrafo CT 64 cortes</t>
        </is>
      </c>
      <c r="G6" t="inlineStr">
        <is>
          <t>CT</t>
        </is>
      </c>
      <c r="H6" t="inlineStr">
        <is>
          <t>2020-02-01</t>
        </is>
      </c>
      <c r="I6" t="n">
        <v>2020</v>
      </c>
      <c r="J6" t="inlineStr">
        <is>
          <t>Q1</t>
        </is>
      </c>
      <c r="K6" t="inlineStr">
        <is>
          <t>Cotización</t>
        </is>
      </c>
      <c r="L6" t="n">
        <v>321000</v>
      </c>
      <c r="M6" t="inlineStr">
        <is>
          <t>USD</t>
        </is>
      </c>
      <c r="N6" t="inlineStr">
        <is>
          <t>Adjudicado</t>
        </is>
      </c>
      <c r="O6" t="inlineStr">
        <is>
          <t>Philips Healthcare</t>
        </is>
      </c>
      <c r="P6" t="inlineStr">
        <is>
          <t>Incisive CT</t>
        </is>
      </c>
      <c r="Q6" t="n">
        <v>4</v>
      </c>
      <c r="R6" t="inlineStr">
        <is>
          <t>No</t>
        </is>
      </c>
      <c r="S6" t="inlineStr">
        <is>
          <t>Sí</t>
        </is>
      </c>
      <c r="U6" t="n">
        <v>64</v>
      </c>
    </row>
    <row r="7">
      <c r="A7" t="inlineStr">
        <is>
          <t>LP-0031-2020-SEACE</t>
        </is>
      </c>
      <c r="B7" t="inlineStr">
        <is>
          <t>Perú</t>
        </is>
      </c>
      <c r="C7" t="inlineStr">
        <is>
          <t>SEACE</t>
        </is>
      </c>
      <c r="D7" t="inlineStr">
        <is>
          <t>Lima</t>
        </is>
      </c>
      <c r="E7" t="inlineStr">
        <is>
          <t>Hospital Nacional Edgardo Rebagliati Martins (EsSalud)</t>
        </is>
      </c>
      <c r="F7" t="inlineStr">
        <is>
          <t>Tomógrafo CT 256 cortes</t>
        </is>
      </c>
      <c r="G7" t="inlineStr">
        <is>
          <t>CT</t>
        </is>
      </c>
      <c r="H7" t="inlineStr">
        <is>
          <t>2020-02-09</t>
        </is>
      </c>
      <c r="I7" t="n">
        <v>2020</v>
      </c>
      <c r="J7" t="inlineStr">
        <is>
          <t>Q1</t>
        </is>
      </c>
      <c r="K7" t="inlineStr">
        <is>
          <t>Concurso Público</t>
        </is>
      </c>
      <c r="L7" t="n">
        <v>827000</v>
      </c>
      <c r="M7" t="inlineStr">
        <is>
          <t>USD</t>
        </is>
      </c>
      <c r="N7" t="inlineStr">
        <is>
          <t>Adjudicado</t>
        </is>
      </c>
      <c r="O7" t="inlineStr">
        <is>
          <t>Philips Healthcare</t>
        </is>
      </c>
      <c r="P7" t="inlineStr">
        <is>
          <t>IQon Spectral CT</t>
        </is>
      </c>
      <c r="Q7" t="n">
        <v>5</v>
      </c>
      <c r="R7" t="inlineStr">
        <is>
          <t>No</t>
        </is>
      </c>
      <c r="S7" t="inlineStr">
        <is>
          <t>Sí</t>
        </is>
      </c>
      <c r="U7" t="n">
        <v>256</v>
      </c>
    </row>
    <row r="8">
      <c r="A8" t="inlineStr">
        <is>
          <t>LP-0065-2020-SEACE</t>
        </is>
      </c>
      <c r="B8" t="inlineStr">
        <is>
          <t>Perú</t>
        </is>
      </c>
      <c r="C8" t="inlineStr">
        <is>
          <t>SEACE</t>
        </is>
      </c>
      <c r="D8" t="inlineStr">
        <is>
          <t>Lima</t>
        </is>
      </c>
      <c r="E8" t="inlineStr">
        <is>
          <t>Hospital Nacional Edgardo Rebagliati Martins (EsSalud)</t>
        </is>
      </c>
      <c r="F8" t="inlineStr">
        <is>
          <t>Resonancia Magnética 3T</t>
        </is>
      </c>
      <c r="G8" t="inlineStr">
        <is>
          <t>MR</t>
        </is>
      </c>
      <c r="H8" t="inlineStr">
        <is>
          <t>2020-02-27</t>
        </is>
      </c>
      <c r="I8" t="n">
        <v>2020</v>
      </c>
      <c r="J8" t="inlineStr">
        <is>
          <t>Q1</t>
        </is>
      </c>
      <c r="K8" t="inlineStr">
        <is>
          <t>Licitación Pública</t>
        </is>
      </c>
      <c r="L8" t="n">
        <v>1485000</v>
      </c>
      <c r="M8" t="inlineStr">
        <is>
          <t>USD</t>
        </is>
      </c>
      <c r="N8" t="inlineStr">
        <is>
          <t>Adjudicado</t>
        </is>
      </c>
      <c r="O8" t="inlineStr">
        <is>
          <t>GE Healthcare</t>
        </is>
      </c>
      <c r="P8" t="inlineStr">
        <is>
          <t>SIGNA Premier</t>
        </is>
      </c>
      <c r="Q8" t="n">
        <v>5</v>
      </c>
      <c r="R8" t="inlineStr">
        <is>
          <t>Sí</t>
        </is>
      </c>
      <c r="S8" t="inlineStr">
        <is>
          <t>Sí</t>
        </is>
      </c>
      <c r="T8" t="n">
        <v>3</v>
      </c>
    </row>
    <row r="9">
      <c r="A9" t="inlineStr">
        <is>
          <t>LP-0021-2020-SEACE</t>
        </is>
      </c>
      <c r="B9" t="inlineStr">
        <is>
          <t>Perú</t>
        </is>
      </c>
      <c r="C9" t="inlineStr">
        <is>
          <t>SEACE</t>
        </is>
      </c>
      <c r="D9" t="inlineStr">
        <is>
          <t>Arequipa</t>
        </is>
      </c>
      <c r="E9" t="inlineStr">
        <is>
          <t>Hospital Nacional Cayetano Heredia (MINSA)</t>
        </is>
      </c>
      <c r="F9" t="inlineStr">
        <is>
          <t>Tomógrafo CT 128 cortes</t>
        </is>
      </c>
      <c r="G9" t="inlineStr">
        <is>
          <t>CT</t>
        </is>
      </c>
      <c r="H9" t="inlineStr">
        <is>
          <t>2020-03-01</t>
        </is>
      </c>
      <c r="I9" t="n">
        <v>2020</v>
      </c>
      <c r="J9" t="inlineStr">
        <is>
          <t>Q1</t>
        </is>
      </c>
      <c r="K9" t="inlineStr">
        <is>
          <t>Subasta Inversa Electrónica</t>
        </is>
      </c>
      <c r="L9" t="n">
        <v>467000</v>
      </c>
      <c r="M9" t="inlineStr">
        <is>
          <t>USD</t>
        </is>
      </c>
      <c r="N9" t="inlineStr">
        <is>
          <t>Desierto</t>
        </is>
      </c>
      <c r="Q9" t="n">
        <v>0</v>
      </c>
      <c r="R9" t="inlineStr">
        <is>
          <t>Sí</t>
        </is>
      </c>
      <c r="S9" t="inlineStr">
        <is>
          <t>Sí</t>
        </is>
      </c>
      <c r="U9" t="n">
        <v>128</v>
      </c>
    </row>
    <row r="10">
      <c r="A10" t="inlineStr">
        <is>
          <t>SIE-0028-2020-SERCOP</t>
        </is>
      </c>
      <c r="B10" t="inlineStr">
        <is>
          <t>Ecuador</t>
        </is>
      </c>
      <c r="C10" t="inlineStr">
        <is>
          <t>SERCOP</t>
        </is>
      </c>
      <c r="D10" t="inlineStr">
        <is>
          <t>Pichincha</t>
        </is>
      </c>
      <c r="E10" t="inlineStr">
        <is>
          <t>Ministerio de Salud Pública - Hospital Eugenio Espejo</t>
        </is>
      </c>
      <c r="F10" t="inlineStr">
        <is>
          <t>Tomógrafo CT 128 cortes</t>
        </is>
      </c>
      <c r="G10" t="inlineStr">
        <is>
          <t>CT</t>
        </is>
      </c>
      <c r="H10" t="inlineStr">
        <is>
          <t>2020-03-07</t>
        </is>
      </c>
      <c r="I10" t="n">
        <v>2020</v>
      </c>
      <c r="J10" t="inlineStr">
        <is>
          <t>Q1</t>
        </is>
      </c>
      <c r="K10" t="inlineStr">
        <is>
          <t>Cotización</t>
        </is>
      </c>
      <c r="L10" t="n">
        <v>496000</v>
      </c>
      <c r="M10" t="inlineStr">
        <is>
          <t>USD</t>
        </is>
      </c>
      <c r="N10" t="inlineStr">
        <is>
          <t>Adjudicado</t>
        </is>
      </c>
      <c r="O10" t="inlineStr">
        <is>
          <t>GE Healthcare</t>
        </is>
      </c>
      <c r="P10" t="inlineStr">
        <is>
          <t>Revolution Ascend</t>
        </is>
      </c>
      <c r="Q10" t="n">
        <v>1</v>
      </c>
      <c r="R10" t="inlineStr">
        <is>
          <t>No</t>
        </is>
      </c>
      <c r="S10" t="inlineStr">
        <is>
          <t>No</t>
        </is>
      </c>
      <c r="U10" t="n">
        <v>128</v>
      </c>
    </row>
    <row r="11">
      <c r="A11" t="inlineStr">
        <is>
          <t>LP-0049-2020-SEACE</t>
        </is>
      </c>
      <c r="B11" t="inlineStr">
        <is>
          <t>Perú</t>
        </is>
      </c>
      <c r="C11" t="inlineStr">
        <is>
          <t>SEACE</t>
        </is>
      </c>
      <c r="D11" t="inlineStr">
        <is>
          <t>Ica</t>
        </is>
      </c>
      <c r="E11" t="inlineStr">
        <is>
          <t>Hospital de la Solidaridad (SISOL)</t>
        </is>
      </c>
      <c r="F11" t="inlineStr">
        <is>
          <t>Tomógrafo CT 128 cortes</t>
        </is>
      </c>
      <c r="G11" t="inlineStr">
        <is>
          <t>CT</t>
        </is>
      </c>
      <c r="H11" t="inlineStr">
        <is>
          <t>2020-03-21</t>
        </is>
      </c>
      <c r="I11" t="n">
        <v>2020</v>
      </c>
      <c r="J11" t="inlineStr">
        <is>
          <t>Q1</t>
        </is>
      </c>
      <c r="K11" t="inlineStr">
        <is>
          <t>Licitación Pública</t>
        </is>
      </c>
      <c r="L11" t="n">
        <v>639000</v>
      </c>
      <c r="M11" t="inlineStr">
        <is>
          <t>USD</t>
        </is>
      </c>
      <c r="N11" t="inlineStr">
        <is>
          <t>Adjudicado</t>
        </is>
      </c>
      <c r="O11" t="inlineStr">
        <is>
          <t>GE Healthcare</t>
        </is>
      </c>
      <c r="P11" t="inlineStr">
        <is>
          <t>Revolution Ascend</t>
        </is>
      </c>
      <c r="Q11" t="n">
        <v>3</v>
      </c>
      <c r="R11" t="inlineStr">
        <is>
          <t>Sí</t>
        </is>
      </c>
      <c r="S11" t="inlineStr">
        <is>
          <t>No</t>
        </is>
      </c>
      <c r="U11" t="n">
        <v>128</v>
      </c>
    </row>
    <row r="12">
      <c r="A12" t="inlineStr">
        <is>
          <t>SIE-0038-2020-SERCOP</t>
        </is>
      </c>
      <c r="B12" t="inlineStr">
        <is>
          <t>Ecuador</t>
        </is>
      </c>
      <c r="C12" t="inlineStr">
        <is>
          <t>SERCOP</t>
        </is>
      </c>
      <c r="D12" t="inlineStr">
        <is>
          <t>Guayas</t>
        </is>
      </c>
      <c r="E12" t="inlineStr">
        <is>
          <t>SOLCA Núcleo de Quito</t>
        </is>
      </c>
      <c r="F12" t="inlineStr">
        <is>
          <t>Tomógrafo CT 64 cortes</t>
        </is>
      </c>
      <c r="G12" t="inlineStr">
        <is>
          <t>CT</t>
        </is>
      </c>
      <c r="H12" t="inlineStr">
        <is>
          <t>2020-04-16</t>
        </is>
      </c>
      <c r="I12" t="n">
        <v>2020</v>
      </c>
      <c r="J12" t="inlineStr">
        <is>
          <t>Q2</t>
        </is>
      </c>
      <c r="K12" t="inlineStr">
        <is>
          <t>Subasta Inversa Electrónica</t>
        </is>
      </c>
      <c r="L12" t="n">
        <v>404000</v>
      </c>
      <c r="M12" t="inlineStr">
        <is>
          <t>USD</t>
        </is>
      </c>
      <c r="N12" t="inlineStr">
        <is>
          <t>Adjudicado</t>
        </is>
      </c>
      <c r="O12" t="inlineStr">
        <is>
          <t>GE Healthcare</t>
        </is>
      </c>
      <c r="P12" t="inlineStr">
        <is>
          <t>Revolution EVO</t>
        </is>
      </c>
      <c r="Q12" t="n">
        <v>1</v>
      </c>
      <c r="R12" t="inlineStr">
        <is>
          <t>Sí</t>
        </is>
      </c>
      <c r="S12" t="inlineStr">
        <is>
          <t>No</t>
        </is>
      </c>
      <c r="U12" t="n">
        <v>64</v>
      </c>
    </row>
    <row r="13">
      <c r="A13" t="inlineStr">
        <is>
          <t>SIE-0047-2020-SERCOP</t>
        </is>
      </c>
      <c r="B13" t="inlineStr">
        <is>
          <t>Ecuador</t>
        </is>
      </c>
      <c r="C13" t="inlineStr">
        <is>
          <t>SERCOP</t>
        </is>
      </c>
      <c r="D13" t="inlineStr">
        <is>
          <t>Manabí</t>
        </is>
      </c>
      <c r="E13" t="inlineStr">
        <is>
          <t>Hospital de Especialidades Baca Ortiz</t>
        </is>
      </c>
      <c r="F13" t="inlineStr">
        <is>
          <t>Tomógrafo CT 256 cortes</t>
        </is>
      </c>
      <c r="G13" t="inlineStr">
        <is>
          <t>CT</t>
        </is>
      </c>
      <c r="H13" t="inlineStr">
        <is>
          <t>2020-04-26</t>
        </is>
      </c>
      <c r="I13" t="n">
        <v>2020</v>
      </c>
      <c r="J13" t="inlineStr">
        <is>
          <t>Q2</t>
        </is>
      </c>
      <c r="K13" t="inlineStr">
        <is>
          <t>Menor Cuantía</t>
        </is>
      </c>
      <c r="L13" t="n">
        <v>906000</v>
      </c>
      <c r="M13" t="inlineStr">
        <is>
          <t>USD</t>
        </is>
      </c>
      <c r="N13" t="inlineStr">
        <is>
          <t>Adjudicado</t>
        </is>
      </c>
      <c r="O13" t="inlineStr">
        <is>
          <t>Siemens Healthineers</t>
        </is>
      </c>
      <c r="P13" t="inlineStr">
        <is>
          <t>SOMATOM go.Now</t>
        </is>
      </c>
      <c r="Q13" t="n">
        <v>2</v>
      </c>
      <c r="R13" t="inlineStr">
        <is>
          <t>No</t>
        </is>
      </c>
      <c r="S13" t="inlineStr">
        <is>
          <t>No</t>
        </is>
      </c>
      <c r="U13" t="n">
        <v>256</v>
      </c>
    </row>
    <row r="14">
      <c r="A14" t="inlineStr">
        <is>
          <t>LP-0117-2020-SEACE</t>
        </is>
      </c>
      <c r="B14" t="inlineStr">
        <is>
          <t>Perú</t>
        </is>
      </c>
      <c r="C14" t="inlineStr">
        <is>
          <t>SEACE</t>
        </is>
      </c>
      <c r="D14" t="inlineStr">
        <is>
          <t>Junín</t>
        </is>
      </c>
      <c r="E14" t="inlineStr">
        <is>
          <t>Hospital Nacional Cayetano Heredia (MINSA)</t>
        </is>
      </c>
      <c r="F14" t="inlineStr">
        <is>
          <t>Resonancia Magnética 1.5T</t>
        </is>
      </c>
      <c r="G14" t="inlineStr">
        <is>
          <t>MR</t>
        </is>
      </c>
      <c r="H14" t="inlineStr">
        <is>
          <t>2020-05-05</t>
        </is>
      </c>
      <c r="I14" t="n">
        <v>2020</v>
      </c>
      <c r="J14" t="inlineStr">
        <is>
          <t>Q2</t>
        </is>
      </c>
      <c r="K14" t="inlineStr">
        <is>
          <t>Subasta Inversa Electrónica</t>
        </is>
      </c>
      <c r="L14" t="n">
        <v>1022000</v>
      </c>
      <c r="M14" t="inlineStr">
        <is>
          <t>USD</t>
        </is>
      </c>
      <c r="N14" t="inlineStr">
        <is>
          <t>Adjudicado</t>
        </is>
      </c>
      <c r="O14" t="inlineStr">
        <is>
          <t>GE Healthcare</t>
        </is>
      </c>
      <c r="P14" t="inlineStr">
        <is>
          <t>SIGNA Artist</t>
        </is>
      </c>
      <c r="Q14" t="n">
        <v>4</v>
      </c>
      <c r="R14" t="inlineStr">
        <is>
          <t>Sí</t>
        </is>
      </c>
      <c r="S14" t="inlineStr">
        <is>
          <t>Sí</t>
        </is>
      </c>
      <c r="T14" t="n">
        <v>1.5</v>
      </c>
    </row>
    <row r="15">
      <c r="A15" t="inlineStr">
        <is>
          <t>SIE-0036-2020-SERCOP</t>
        </is>
      </c>
      <c r="B15" t="inlineStr">
        <is>
          <t>Ecuador</t>
        </is>
      </c>
      <c r="C15" t="inlineStr">
        <is>
          <t>SERCOP</t>
        </is>
      </c>
      <c r="D15" t="inlineStr">
        <is>
          <t>Pichincha</t>
        </is>
      </c>
      <c r="E15" t="inlineStr">
        <is>
          <t>Ministerio de Salud Pública - Hospital Eugenio Espejo</t>
        </is>
      </c>
      <c r="F15" t="inlineStr">
        <is>
          <t>Tomógrafo CT 256 cortes</t>
        </is>
      </c>
      <c r="G15" t="inlineStr">
        <is>
          <t>CT</t>
        </is>
      </c>
      <c r="H15" t="inlineStr">
        <is>
          <t>2020-05-22</t>
        </is>
      </c>
      <c r="I15" t="n">
        <v>2020</v>
      </c>
      <c r="J15" t="inlineStr">
        <is>
          <t>Q2</t>
        </is>
      </c>
      <c r="K15" t="inlineStr">
        <is>
          <t>Menor Cuantía</t>
        </is>
      </c>
      <c r="L15" t="n">
        <v>915000</v>
      </c>
      <c r="M15" t="inlineStr">
        <is>
          <t>USD</t>
        </is>
      </c>
      <c r="N15" t="inlineStr">
        <is>
          <t>Adjudicado</t>
        </is>
      </c>
      <c r="O15" t="inlineStr">
        <is>
          <t>Philips Healthcare</t>
        </is>
      </c>
      <c r="P15" t="inlineStr">
        <is>
          <t>IQon Spectral CT</t>
        </is>
      </c>
      <c r="Q15" t="n">
        <v>4</v>
      </c>
      <c r="R15" t="inlineStr">
        <is>
          <t>No</t>
        </is>
      </c>
      <c r="S15" t="inlineStr">
        <is>
          <t>Sí</t>
        </is>
      </c>
      <c r="U15" t="n">
        <v>256</v>
      </c>
    </row>
    <row r="16">
      <c r="A16" t="inlineStr">
        <is>
          <t>LP-0087-2020-SEACE</t>
        </is>
      </c>
      <c r="B16" t="inlineStr">
        <is>
          <t>Perú</t>
        </is>
      </c>
      <c r="C16" t="inlineStr">
        <is>
          <t>SEACE</t>
        </is>
      </c>
      <c r="D16" t="inlineStr">
        <is>
          <t>Arequipa</t>
        </is>
      </c>
      <c r="E16" t="inlineStr">
        <is>
          <t>Hospital Regional de Lambayeque</t>
        </is>
      </c>
      <c r="F16" t="inlineStr">
        <is>
          <t>Tomógrafo CT 64 cortes</t>
        </is>
      </c>
      <c r="G16" t="inlineStr">
        <is>
          <t>CT</t>
        </is>
      </c>
      <c r="H16" t="inlineStr">
        <is>
          <t>2020-05-27</t>
        </is>
      </c>
      <c r="I16" t="n">
        <v>2020</v>
      </c>
      <c r="J16" t="inlineStr">
        <is>
          <t>Q2</t>
        </is>
      </c>
      <c r="K16" t="inlineStr">
        <is>
          <t>Concurso Público</t>
        </is>
      </c>
      <c r="L16" t="n">
        <v>383000</v>
      </c>
      <c r="M16" t="inlineStr">
        <is>
          <t>USD</t>
        </is>
      </c>
      <c r="N16" t="inlineStr">
        <is>
          <t>Adjudicado</t>
        </is>
      </c>
      <c r="O16" t="inlineStr">
        <is>
          <t>Canon Medical</t>
        </is>
      </c>
      <c r="P16" t="inlineStr">
        <is>
          <t>Aquilion Lightning</t>
        </is>
      </c>
      <c r="Q16" t="n">
        <v>2</v>
      </c>
      <c r="R16" t="inlineStr">
        <is>
          <t>No</t>
        </is>
      </c>
      <c r="S16" t="inlineStr">
        <is>
          <t>Sí</t>
        </is>
      </c>
      <c r="U16" t="n">
        <v>64</v>
      </c>
    </row>
    <row r="17">
      <c r="A17" t="inlineStr">
        <is>
          <t>LP-0100-2020-SEACE</t>
        </is>
      </c>
      <c r="B17" t="inlineStr">
        <is>
          <t>Perú</t>
        </is>
      </c>
      <c r="C17" t="inlineStr">
        <is>
          <t>SEACE</t>
        </is>
      </c>
      <c r="D17" t="inlineStr">
        <is>
          <t>Lambayeque</t>
        </is>
      </c>
      <c r="E17" t="inlineStr">
        <is>
          <t>Hospital Nacional Guillermo Almenara Irigoyen (EsSalud)</t>
        </is>
      </c>
      <c r="F17" t="inlineStr">
        <is>
          <t>Tomógrafo CT 128 cortes</t>
        </is>
      </c>
      <c r="G17" t="inlineStr">
        <is>
          <t>CT</t>
        </is>
      </c>
      <c r="H17" t="inlineStr">
        <is>
          <t>2020-06-01</t>
        </is>
      </c>
      <c r="I17" t="n">
        <v>2020</v>
      </c>
      <c r="J17" t="inlineStr">
        <is>
          <t>Q2</t>
        </is>
      </c>
      <c r="K17" t="inlineStr">
        <is>
          <t>Adjudicación Simplificada</t>
        </is>
      </c>
      <c r="L17" t="n">
        <v>482000</v>
      </c>
      <c r="M17" t="inlineStr">
        <is>
          <t>USD</t>
        </is>
      </c>
      <c r="N17" t="inlineStr">
        <is>
          <t>Adjudicado</t>
        </is>
      </c>
      <c r="O17" t="inlineStr">
        <is>
          <t>Siemens Healthineers</t>
        </is>
      </c>
      <c r="P17" t="inlineStr">
        <is>
          <t>SOMATOM go.Top</t>
        </is>
      </c>
      <c r="Q17" t="n">
        <v>5</v>
      </c>
      <c r="R17" t="inlineStr">
        <is>
          <t>Sí</t>
        </is>
      </c>
      <c r="S17" t="inlineStr">
        <is>
          <t>No</t>
        </is>
      </c>
      <c r="U17" t="n">
        <v>128</v>
      </c>
    </row>
    <row r="18">
      <c r="A18" t="inlineStr">
        <is>
          <t>LP-0025-2020-SEACE</t>
        </is>
      </c>
      <c r="B18" t="inlineStr">
        <is>
          <t>Perú</t>
        </is>
      </c>
      <c r="C18" t="inlineStr">
        <is>
          <t>SEACE</t>
        </is>
      </c>
      <c r="D18" t="inlineStr">
        <is>
          <t>Cusco</t>
        </is>
      </c>
      <c r="E18" t="inlineStr">
        <is>
          <t>Clínica Ricardo Palma S.A.</t>
        </is>
      </c>
      <c r="F18" t="inlineStr">
        <is>
          <t>Tomógrafo CT 256 cortes</t>
        </is>
      </c>
      <c r="G18" t="inlineStr">
        <is>
          <t>CT</t>
        </is>
      </c>
      <c r="H18" t="inlineStr">
        <is>
          <t>2020-06-11</t>
        </is>
      </c>
      <c r="I18" t="n">
        <v>2020</v>
      </c>
      <c r="J18" t="inlineStr">
        <is>
          <t>Q2</t>
        </is>
      </c>
      <c r="K18" t="inlineStr">
        <is>
          <t>Concurso Público</t>
        </is>
      </c>
      <c r="L18" t="n">
        <v>845000</v>
      </c>
      <c r="M18" t="inlineStr">
        <is>
          <t>USD</t>
        </is>
      </c>
      <c r="N18" t="inlineStr">
        <is>
          <t>Adjudicado</t>
        </is>
      </c>
      <c r="O18" t="inlineStr">
        <is>
          <t>Siemens Healthineers</t>
        </is>
      </c>
      <c r="P18" t="inlineStr">
        <is>
          <t>SOMATOM go.Now</t>
        </is>
      </c>
      <c r="Q18" t="n">
        <v>3</v>
      </c>
      <c r="R18" t="inlineStr">
        <is>
          <t>Sí</t>
        </is>
      </c>
      <c r="S18" t="inlineStr">
        <is>
          <t>No</t>
        </is>
      </c>
      <c r="U18" t="n">
        <v>256</v>
      </c>
    </row>
    <row r="19">
      <c r="A19" t="inlineStr">
        <is>
          <t>LP-0004-2020-SEACE</t>
        </is>
      </c>
      <c r="B19" t="inlineStr">
        <is>
          <t>Perú</t>
        </is>
      </c>
      <c r="C19" t="inlineStr">
        <is>
          <t>SEACE</t>
        </is>
      </c>
      <c r="D19" t="inlineStr">
        <is>
          <t>Junín</t>
        </is>
      </c>
      <c r="E19" t="inlineStr">
        <is>
          <t>Gobierno Regional de Piura - Gerencia Regional de Salud</t>
        </is>
      </c>
      <c r="F19" t="inlineStr">
        <is>
          <t>Tomógrafo CT 64 cortes</t>
        </is>
      </c>
      <c r="G19" t="inlineStr">
        <is>
          <t>CT</t>
        </is>
      </c>
      <c r="H19" t="inlineStr">
        <is>
          <t>2020-06-26</t>
        </is>
      </c>
      <c r="I19" t="n">
        <v>2020</v>
      </c>
      <c r="J19" t="inlineStr">
        <is>
          <t>Q2</t>
        </is>
      </c>
      <c r="K19" t="inlineStr">
        <is>
          <t>Subasta Inversa Electrónica</t>
        </is>
      </c>
      <c r="L19" t="n">
        <v>360000</v>
      </c>
      <c r="M19" t="inlineStr">
        <is>
          <t>USD</t>
        </is>
      </c>
      <c r="N19" t="inlineStr">
        <is>
          <t>Adjudicado</t>
        </is>
      </c>
      <c r="O19" t="inlineStr">
        <is>
          <t>Philips Healthcare</t>
        </is>
      </c>
      <c r="P19" t="inlineStr">
        <is>
          <t>Incisive CT</t>
        </is>
      </c>
      <c r="Q19" t="n">
        <v>1</v>
      </c>
      <c r="R19" t="inlineStr">
        <is>
          <t>No</t>
        </is>
      </c>
      <c r="S19" t="inlineStr">
        <is>
          <t>No</t>
        </is>
      </c>
      <c r="U19" t="n">
        <v>64</v>
      </c>
    </row>
    <row r="20">
      <c r="A20" t="inlineStr">
        <is>
          <t>SIE-0030-2020-SERCOP</t>
        </is>
      </c>
      <c r="B20" t="inlineStr">
        <is>
          <t>Ecuador</t>
        </is>
      </c>
      <c r="C20" t="inlineStr">
        <is>
          <t>SERCOP</t>
        </is>
      </c>
      <c r="D20" t="inlineStr">
        <is>
          <t>Pichincha</t>
        </is>
      </c>
      <c r="E20" t="inlineStr">
        <is>
          <t>Ministerio de Salud Pública - Hospital Eugenio Espejo</t>
        </is>
      </c>
      <c r="F20" t="inlineStr">
        <is>
          <t>Tomógrafo CT 128 cortes</t>
        </is>
      </c>
      <c r="G20" t="inlineStr">
        <is>
          <t>CT</t>
        </is>
      </c>
      <c r="H20" t="inlineStr">
        <is>
          <t>2020-06-28</t>
        </is>
      </c>
      <c r="I20" t="n">
        <v>2020</v>
      </c>
      <c r="J20" t="inlineStr">
        <is>
          <t>Q2</t>
        </is>
      </c>
      <c r="K20" t="inlineStr">
        <is>
          <t>Menor Cuantía</t>
        </is>
      </c>
      <c r="L20" t="n">
        <v>517000</v>
      </c>
      <c r="M20" t="inlineStr">
        <is>
          <t>USD</t>
        </is>
      </c>
      <c r="N20" t="inlineStr">
        <is>
          <t>Adjudicado</t>
        </is>
      </c>
      <c r="O20" t="inlineStr">
        <is>
          <t>Siemens Healthineers</t>
        </is>
      </c>
      <c r="P20" t="inlineStr">
        <is>
          <t>SOMATOM go.Top</t>
        </is>
      </c>
      <c r="Q20" t="n">
        <v>4</v>
      </c>
      <c r="R20" t="inlineStr">
        <is>
          <t>No</t>
        </is>
      </c>
      <c r="S20" t="inlineStr">
        <is>
          <t>No</t>
        </is>
      </c>
      <c r="U20" t="n">
        <v>128</v>
      </c>
    </row>
    <row r="21">
      <c r="A21" t="inlineStr">
        <is>
          <t>LP-0093-2020-SEACE</t>
        </is>
      </c>
      <c r="B21" t="inlineStr">
        <is>
          <t>Perú</t>
        </is>
      </c>
      <c r="C21" t="inlineStr">
        <is>
          <t>SEACE</t>
        </is>
      </c>
      <c r="D21" t="inlineStr">
        <is>
          <t>Lambayeque</t>
        </is>
      </c>
      <c r="E21" t="inlineStr">
        <is>
          <t>Gobierno Regional de Piura - Gerencia Regional de Salud</t>
        </is>
      </c>
      <c r="F21" t="inlineStr">
        <is>
          <t>Tomógrafo CT 64 cortes</t>
        </is>
      </c>
      <c r="G21" t="inlineStr">
        <is>
          <t>CT</t>
        </is>
      </c>
      <c r="H21" t="inlineStr">
        <is>
          <t>2020-07-19</t>
        </is>
      </c>
      <c r="I21" t="n">
        <v>2020</v>
      </c>
      <c r="J21" t="inlineStr">
        <is>
          <t>Q3</t>
        </is>
      </c>
      <c r="K21" t="inlineStr">
        <is>
          <t>Concurso Público</t>
        </is>
      </c>
      <c r="L21" t="n">
        <v>359000</v>
      </c>
      <c r="M21" t="inlineStr">
        <is>
          <t>USD</t>
        </is>
      </c>
      <c r="N21" t="inlineStr">
        <is>
          <t>Desierto</t>
        </is>
      </c>
      <c r="Q21" t="n">
        <v>0</v>
      </c>
      <c r="R21" t="inlineStr">
        <is>
          <t>Sí</t>
        </is>
      </c>
      <c r="S21" t="inlineStr">
        <is>
          <t>No</t>
        </is>
      </c>
      <c r="U21" t="n">
        <v>64</v>
      </c>
    </row>
    <row r="22">
      <c r="A22" t="inlineStr">
        <is>
          <t>SIE-0051-2020-SERCOP</t>
        </is>
      </c>
      <c r="B22" t="inlineStr">
        <is>
          <t>Ecuador</t>
        </is>
      </c>
      <c r="C22" t="inlineStr">
        <is>
          <t>SERCOP</t>
        </is>
      </c>
      <c r="D22" t="inlineStr">
        <is>
          <t>Guayas</t>
        </is>
      </c>
      <c r="E22" t="inlineStr">
        <is>
          <t>Hospital de Especialidades Baca Ortiz</t>
        </is>
      </c>
      <c r="F22" t="inlineStr">
        <is>
          <t>Tomógrafo CT 128 cortes</t>
        </is>
      </c>
      <c r="G22" t="inlineStr">
        <is>
          <t>CT</t>
        </is>
      </c>
      <c r="H22" t="inlineStr">
        <is>
          <t>2020-07-26</t>
        </is>
      </c>
      <c r="I22" t="n">
        <v>2020</v>
      </c>
      <c r="J22" t="inlineStr">
        <is>
          <t>Q3</t>
        </is>
      </c>
      <c r="K22" t="inlineStr">
        <is>
          <t>Subasta Inversa Electrónica</t>
        </is>
      </c>
      <c r="L22" t="n">
        <v>482000</v>
      </c>
      <c r="M22" t="inlineStr">
        <is>
          <t>USD</t>
        </is>
      </c>
      <c r="N22" t="inlineStr">
        <is>
          <t>Adjudicado</t>
        </is>
      </c>
      <c r="O22" t="inlineStr">
        <is>
          <t>Siemens Healthineers</t>
        </is>
      </c>
      <c r="P22" t="inlineStr">
        <is>
          <t>SOMATOM go.Top</t>
        </is>
      </c>
      <c r="Q22" t="n">
        <v>2</v>
      </c>
      <c r="R22" t="inlineStr">
        <is>
          <t>Sí</t>
        </is>
      </c>
      <c r="S22" t="inlineStr">
        <is>
          <t>No</t>
        </is>
      </c>
      <c r="U22" t="n">
        <v>128</v>
      </c>
    </row>
    <row r="23">
      <c r="A23" t="inlineStr">
        <is>
          <t>LP-0053-2020-SEACE</t>
        </is>
      </c>
      <c r="B23" t="inlineStr">
        <is>
          <t>Perú</t>
        </is>
      </c>
      <c r="C23" t="inlineStr">
        <is>
          <t>SEACE</t>
        </is>
      </c>
      <c r="D23" t="inlineStr">
        <is>
          <t>Piura</t>
        </is>
      </c>
      <c r="E23" t="inlineStr">
        <is>
          <t>Hospital Regional de Lambayeque</t>
        </is>
      </c>
      <c r="F23" t="inlineStr">
        <is>
          <t>Tomógrafo CT 64 cortes</t>
        </is>
      </c>
      <c r="G23" t="inlineStr">
        <is>
          <t>CT</t>
        </is>
      </c>
      <c r="H23" t="inlineStr">
        <is>
          <t>2020-08-01</t>
        </is>
      </c>
      <c r="I23" t="n">
        <v>2020</v>
      </c>
      <c r="J23" t="inlineStr">
        <is>
          <t>Q3</t>
        </is>
      </c>
      <c r="K23" t="inlineStr">
        <is>
          <t>Licitación Pública</t>
        </is>
      </c>
      <c r="L23" t="n">
        <v>346000</v>
      </c>
      <c r="M23" t="inlineStr">
        <is>
          <t>USD</t>
        </is>
      </c>
      <c r="N23" t="inlineStr">
        <is>
          <t>Nulo</t>
        </is>
      </c>
      <c r="Q23" t="n">
        <v>1</v>
      </c>
      <c r="R23" t="inlineStr">
        <is>
          <t>Sí</t>
        </is>
      </c>
      <c r="S23" t="inlineStr">
        <is>
          <t>Sí</t>
        </is>
      </c>
      <c r="U23" t="n">
        <v>64</v>
      </c>
    </row>
    <row r="24">
      <c r="A24" t="inlineStr">
        <is>
          <t>SIE-0012-2020-SERCOP</t>
        </is>
      </c>
      <c r="B24" t="inlineStr">
        <is>
          <t>Ecuador</t>
        </is>
      </c>
      <c r="C24" t="inlineStr">
        <is>
          <t>SERCOP</t>
        </is>
      </c>
      <c r="D24" t="inlineStr">
        <is>
          <t>Manabí</t>
        </is>
      </c>
      <c r="E24" t="inlineStr">
        <is>
          <t>Ministerio de Salud Pública - Hospital Eugenio Espejo</t>
        </is>
      </c>
      <c r="F24" t="inlineStr">
        <is>
          <t>Tomógrafo CT 128 cortes</t>
        </is>
      </c>
      <c r="G24" t="inlineStr">
        <is>
          <t>CT</t>
        </is>
      </c>
      <c r="H24" t="inlineStr">
        <is>
          <t>2020-08-02</t>
        </is>
      </c>
      <c r="I24" t="n">
        <v>2020</v>
      </c>
      <c r="J24" t="inlineStr">
        <is>
          <t>Q3</t>
        </is>
      </c>
      <c r="K24" t="inlineStr">
        <is>
          <t>Licitación</t>
        </is>
      </c>
      <c r="L24" t="n">
        <v>610000</v>
      </c>
      <c r="M24" t="inlineStr">
        <is>
          <t>USD</t>
        </is>
      </c>
      <c r="N24" t="inlineStr">
        <is>
          <t>Adjudicado</t>
        </is>
      </c>
      <c r="O24" t="inlineStr">
        <is>
          <t>GE Healthcare</t>
        </is>
      </c>
      <c r="P24" t="inlineStr">
        <is>
          <t>Revolution Ascend</t>
        </is>
      </c>
      <c r="Q24" t="n">
        <v>3</v>
      </c>
      <c r="R24" t="inlineStr">
        <is>
          <t>Sí</t>
        </is>
      </c>
      <c r="S24" t="inlineStr">
        <is>
          <t>No</t>
        </is>
      </c>
      <c r="U24" t="n">
        <v>128</v>
      </c>
    </row>
    <row r="25">
      <c r="A25" t="inlineStr">
        <is>
          <t>LP-0067-2020-SEACE</t>
        </is>
      </c>
      <c r="B25" t="inlineStr">
        <is>
          <t>Perú</t>
        </is>
      </c>
      <c r="C25" t="inlineStr">
        <is>
          <t>SEACE</t>
        </is>
      </c>
      <c r="D25" t="inlineStr">
        <is>
          <t>Ica</t>
        </is>
      </c>
      <c r="E25" t="inlineStr">
        <is>
          <t>Hospital Nacional Guillermo Almenara Irigoyen (EsSalud)</t>
        </is>
      </c>
      <c r="F25" t="inlineStr">
        <is>
          <t>Resonancia Magnética 1.5T</t>
        </is>
      </c>
      <c r="G25" t="inlineStr">
        <is>
          <t>MR</t>
        </is>
      </c>
      <c r="H25" t="inlineStr">
        <is>
          <t>2020-08-07</t>
        </is>
      </c>
      <c r="I25" t="n">
        <v>2020</v>
      </c>
      <c r="J25" t="inlineStr">
        <is>
          <t>Q3</t>
        </is>
      </c>
      <c r="K25" t="inlineStr">
        <is>
          <t>Adjudicación Simplificada</t>
        </is>
      </c>
      <c r="L25" t="n">
        <v>898000</v>
      </c>
      <c r="M25" t="inlineStr">
        <is>
          <t>USD</t>
        </is>
      </c>
      <c r="N25" t="inlineStr">
        <is>
          <t>Adjudicado</t>
        </is>
      </c>
      <c r="O25" t="inlineStr">
        <is>
          <t>Canon Medical</t>
        </is>
      </c>
      <c r="P25" t="inlineStr">
        <is>
          <t>Vantage Orian</t>
        </is>
      </c>
      <c r="Q25" t="n">
        <v>1</v>
      </c>
      <c r="R25" t="inlineStr">
        <is>
          <t>No</t>
        </is>
      </c>
      <c r="S25" t="inlineStr">
        <is>
          <t>No</t>
        </is>
      </c>
      <c r="T25" t="n">
        <v>1.5</v>
      </c>
    </row>
    <row r="26">
      <c r="A26" t="inlineStr">
        <is>
          <t>SIE-0035-2020-SERCOP</t>
        </is>
      </c>
      <c r="B26" t="inlineStr">
        <is>
          <t>Ecuador</t>
        </is>
      </c>
      <c r="C26" t="inlineStr">
        <is>
          <t>SERCOP</t>
        </is>
      </c>
      <c r="D26" t="inlineStr">
        <is>
          <t>Manabí</t>
        </is>
      </c>
      <c r="E26" t="inlineStr">
        <is>
          <t>Hospital Teodoro Maldonado Carbo (IESS Guayaquil)</t>
        </is>
      </c>
      <c r="F26" t="inlineStr">
        <is>
          <t>Tomógrafo CT 256 cortes</t>
        </is>
      </c>
      <c r="G26" t="inlineStr">
        <is>
          <t>CT</t>
        </is>
      </c>
      <c r="H26" t="inlineStr">
        <is>
          <t>2020-08-22</t>
        </is>
      </c>
      <c r="I26" t="n">
        <v>2020</v>
      </c>
      <c r="J26" t="inlineStr">
        <is>
          <t>Q3</t>
        </is>
      </c>
      <c r="K26" t="inlineStr">
        <is>
          <t>Menor Cuantía</t>
        </is>
      </c>
      <c r="L26" t="n">
        <v>749000</v>
      </c>
      <c r="M26" t="inlineStr">
        <is>
          <t>USD</t>
        </is>
      </c>
      <c r="N26" t="inlineStr">
        <is>
          <t>Adjudicado</t>
        </is>
      </c>
      <c r="O26" t="inlineStr">
        <is>
          <t>GE Healthcare</t>
        </is>
      </c>
      <c r="P26" t="inlineStr">
        <is>
          <t>Revolution HD</t>
        </is>
      </c>
      <c r="Q26" t="n">
        <v>2</v>
      </c>
      <c r="R26" t="inlineStr">
        <is>
          <t>Sí</t>
        </is>
      </c>
      <c r="S26" t="inlineStr">
        <is>
          <t>Sí</t>
        </is>
      </c>
      <c r="U26" t="n">
        <v>256</v>
      </c>
    </row>
    <row r="27">
      <c r="A27" t="inlineStr">
        <is>
          <t>LP-0023-2020-SEACE</t>
        </is>
      </c>
      <c r="B27" t="inlineStr">
        <is>
          <t>Perú</t>
        </is>
      </c>
      <c r="C27" t="inlineStr">
        <is>
          <t>SEACE</t>
        </is>
      </c>
      <c r="D27" t="inlineStr">
        <is>
          <t>Junín</t>
        </is>
      </c>
      <c r="E27" t="inlineStr">
        <is>
          <t>Hospital Regional Honorio Delgado (Arequipa)</t>
        </is>
      </c>
      <c r="F27" t="inlineStr">
        <is>
          <t>Resonancia Magnética 3T</t>
        </is>
      </c>
      <c r="G27" t="inlineStr">
        <is>
          <t>MR</t>
        </is>
      </c>
      <c r="H27" t="inlineStr">
        <is>
          <t>2020-08-27</t>
        </is>
      </c>
      <c r="I27" t="n">
        <v>2020</v>
      </c>
      <c r="J27" t="inlineStr">
        <is>
          <t>Q3</t>
        </is>
      </c>
      <c r="K27" t="inlineStr">
        <is>
          <t>Concurso Público</t>
        </is>
      </c>
      <c r="L27" t="n">
        <v>1637000</v>
      </c>
      <c r="M27" t="inlineStr">
        <is>
          <t>USD</t>
        </is>
      </c>
      <c r="N27" t="inlineStr">
        <is>
          <t>Adjudicado</t>
        </is>
      </c>
      <c r="O27" t="inlineStr">
        <is>
          <t>Siemens Healthineers</t>
        </is>
      </c>
      <c r="P27" t="inlineStr">
        <is>
          <t>MAGNETOM Vida</t>
        </is>
      </c>
      <c r="Q27" t="n">
        <v>1</v>
      </c>
      <c r="R27" t="inlineStr">
        <is>
          <t>Sí</t>
        </is>
      </c>
      <c r="S27" t="inlineStr">
        <is>
          <t>No</t>
        </is>
      </c>
      <c r="T27" t="n">
        <v>3</v>
      </c>
    </row>
    <row r="28">
      <c r="A28" t="inlineStr">
        <is>
          <t>LP-0057-2020-SEACE</t>
        </is>
      </c>
      <c r="B28" t="inlineStr">
        <is>
          <t>Perú</t>
        </is>
      </c>
      <c r="C28" t="inlineStr">
        <is>
          <t>SEACE</t>
        </is>
      </c>
      <c r="D28" t="inlineStr">
        <is>
          <t>Piura</t>
        </is>
      </c>
      <c r="E28" t="inlineStr">
        <is>
          <t>Hospital de Alta Complejidad Virgen de la Puerta (EsSalud La Libertad)</t>
        </is>
      </c>
      <c r="F28" t="inlineStr">
        <is>
          <t>Tomógrafo CT 256 cortes</t>
        </is>
      </c>
      <c r="G28" t="inlineStr">
        <is>
          <t>CT</t>
        </is>
      </c>
      <c r="H28" t="inlineStr">
        <is>
          <t>2020-10-09</t>
        </is>
      </c>
      <c r="I28" t="n">
        <v>2020</v>
      </c>
      <c r="J28" t="inlineStr">
        <is>
          <t>Q4</t>
        </is>
      </c>
      <c r="K28" t="inlineStr">
        <is>
          <t>Subasta Inversa Electrónica</t>
        </is>
      </c>
      <c r="L28" t="n">
        <v>845000</v>
      </c>
      <c r="M28" t="inlineStr">
        <is>
          <t>USD</t>
        </is>
      </c>
      <c r="N28" t="inlineStr">
        <is>
          <t>Adjudicado</t>
        </is>
      </c>
      <c r="O28" t="inlineStr">
        <is>
          <t>GE Healthcare</t>
        </is>
      </c>
      <c r="P28" t="inlineStr">
        <is>
          <t>Revolution HD</t>
        </is>
      </c>
      <c r="Q28" t="n">
        <v>4</v>
      </c>
      <c r="R28" t="inlineStr">
        <is>
          <t>Sí</t>
        </is>
      </c>
      <c r="S28" t="inlineStr">
        <is>
          <t>No</t>
        </is>
      </c>
      <c r="U28" t="n">
        <v>256</v>
      </c>
    </row>
    <row r="29">
      <c r="A29" t="inlineStr">
        <is>
          <t>LP-0005-2020-SEACE</t>
        </is>
      </c>
      <c r="B29" t="inlineStr">
        <is>
          <t>Perú</t>
        </is>
      </c>
      <c r="C29" t="inlineStr">
        <is>
          <t>SEACE</t>
        </is>
      </c>
      <c r="D29" t="inlineStr">
        <is>
          <t>Arequipa</t>
        </is>
      </c>
      <c r="E29" t="inlineStr">
        <is>
          <t>Hospital Nacional Dos de Mayo (MINSA)</t>
        </is>
      </c>
      <c r="F29" t="inlineStr">
        <is>
          <t>Tomógrafo CT 256 cortes</t>
        </is>
      </c>
      <c r="G29" t="inlineStr">
        <is>
          <t>CT</t>
        </is>
      </c>
      <c r="H29" t="inlineStr">
        <is>
          <t>2020-10-11</t>
        </is>
      </c>
      <c r="I29" t="n">
        <v>2020</v>
      </c>
      <c r="J29" t="inlineStr">
        <is>
          <t>Q4</t>
        </is>
      </c>
      <c r="K29" t="inlineStr">
        <is>
          <t>Licitación Pública</t>
        </is>
      </c>
      <c r="L29" t="n">
        <v>824000</v>
      </c>
      <c r="M29" t="inlineStr">
        <is>
          <t>USD</t>
        </is>
      </c>
      <c r="N29" t="inlineStr">
        <is>
          <t>Adjudicado</t>
        </is>
      </c>
      <c r="O29" t="inlineStr">
        <is>
          <t>GE Healthcare</t>
        </is>
      </c>
      <c r="P29" t="inlineStr">
        <is>
          <t>Revolution HD</t>
        </is>
      </c>
      <c r="Q29" t="n">
        <v>2</v>
      </c>
      <c r="R29" t="inlineStr">
        <is>
          <t>Sí</t>
        </is>
      </c>
      <c r="S29" t="inlineStr">
        <is>
          <t>No</t>
        </is>
      </c>
      <c r="U29" t="n">
        <v>256</v>
      </c>
    </row>
    <row r="30">
      <c r="A30" t="inlineStr">
        <is>
          <t>LP-0072-2020-SEACE</t>
        </is>
      </c>
      <c r="B30" t="inlineStr">
        <is>
          <t>Perú</t>
        </is>
      </c>
      <c r="C30" t="inlineStr">
        <is>
          <t>SEACE</t>
        </is>
      </c>
      <c r="D30" t="inlineStr">
        <is>
          <t>La Libertad</t>
        </is>
      </c>
      <c r="E30" t="inlineStr">
        <is>
          <t>Hospital Regional Honorio Delgado (Arequipa)</t>
        </is>
      </c>
      <c r="F30" t="inlineStr">
        <is>
          <t>Resonancia Magnética 3T</t>
        </is>
      </c>
      <c r="G30" t="inlineStr">
        <is>
          <t>MR</t>
        </is>
      </c>
      <c r="H30" t="inlineStr">
        <is>
          <t>2020-10-19</t>
        </is>
      </c>
      <c r="I30" t="n">
        <v>2020</v>
      </c>
      <c r="J30" t="inlineStr">
        <is>
          <t>Q4</t>
        </is>
      </c>
      <c r="K30" t="inlineStr">
        <is>
          <t>Concurso Público</t>
        </is>
      </c>
      <c r="L30" t="n">
        <v>1970000</v>
      </c>
      <c r="M30" t="inlineStr">
        <is>
          <t>USD</t>
        </is>
      </c>
      <c r="N30" t="inlineStr">
        <is>
          <t>Adjudicado</t>
        </is>
      </c>
      <c r="O30" t="inlineStr">
        <is>
          <t>GE Healthcare</t>
        </is>
      </c>
      <c r="P30" t="inlineStr">
        <is>
          <t>SIGNA Premier</t>
        </is>
      </c>
      <c r="Q30" t="n">
        <v>4</v>
      </c>
      <c r="R30" t="inlineStr">
        <is>
          <t>Sí</t>
        </is>
      </c>
      <c r="S30" t="inlineStr">
        <is>
          <t>No</t>
        </is>
      </c>
      <c r="T30" t="n">
        <v>3</v>
      </c>
    </row>
    <row r="31">
      <c r="A31" t="inlineStr">
        <is>
          <t>LP-0043-2020-SEACE</t>
        </is>
      </c>
      <c r="B31" t="inlineStr">
        <is>
          <t>Perú</t>
        </is>
      </c>
      <c r="C31" t="inlineStr">
        <is>
          <t>SEACE</t>
        </is>
      </c>
      <c r="D31" t="inlineStr">
        <is>
          <t>Ica</t>
        </is>
      </c>
      <c r="E31" t="inlineStr">
        <is>
          <t>Hospital Regional Honorio Delgado (Arequipa)</t>
        </is>
      </c>
      <c r="F31" t="inlineStr">
        <is>
          <t>Tomógrafo CT 128 cortes</t>
        </is>
      </c>
      <c r="G31" t="inlineStr">
        <is>
          <t>CT</t>
        </is>
      </c>
      <c r="H31" t="inlineStr">
        <is>
          <t>2020-10-25</t>
        </is>
      </c>
      <c r="I31" t="n">
        <v>2020</v>
      </c>
      <c r="J31" t="inlineStr">
        <is>
          <t>Q4</t>
        </is>
      </c>
      <c r="K31" t="inlineStr">
        <is>
          <t>Subasta Inversa Electrónica</t>
        </is>
      </c>
      <c r="L31" t="n">
        <v>636000</v>
      </c>
      <c r="M31" t="inlineStr">
        <is>
          <t>USD</t>
        </is>
      </c>
      <c r="N31" t="inlineStr">
        <is>
          <t>Adjudicado</t>
        </is>
      </c>
      <c r="O31" t="inlineStr">
        <is>
          <t>Philips Healthcare</t>
        </is>
      </c>
      <c r="P31" t="inlineStr">
        <is>
          <t>Incisive CT 128</t>
        </is>
      </c>
      <c r="Q31" t="n">
        <v>4</v>
      </c>
      <c r="R31" t="inlineStr">
        <is>
          <t>Sí</t>
        </is>
      </c>
      <c r="S31" t="inlineStr">
        <is>
          <t>Sí</t>
        </is>
      </c>
      <c r="U31" t="n">
        <v>128</v>
      </c>
    </row>
    <row r="32">
      <c r="A32" t="inlineStr">
        <is>
          <t>LP-0109-2020-SEACE</t>
        </is>
      </c>
      <c r="B32" t="inlineStr">
        <is>
          <t>Perú</t>
        </is>
      </c>
      <c r="C32" t="inlineStr">
        <is>
          <t>SEACE</t>
        </is>
      </c>
      <c r="D32" t="inlineStr">
        <is>
          <t>Piura</t>
        </is>
      </c>
      <c r="E32" t="inlineStr">
        <is>
          <t>Hospital Nacional Alberto Sabogal Sologuren (EsSalud)</t>
        </is>
      </c>
      <c r="F32" t="inlineStr">
        <is>
          <t>Tomógrafo CT 128 cortes</t>
        </is>
      </c>
      <c r="G32" t="inlineStr">
        <is>
          <t>CT</t>
        </is>
      </c>
      <c r="H32" t="inlineStr">
        <is>
          <t>2020-10-28</t>
        </is>
      </c>
      <c r="I32" t="n">
        <v>2020</v>
      </c>
      <c r="J32" t="inlineStr">
        <is>
          <t>Q4</t>
        </is>
      </c>
      <c r="K32" t="inlineStr">
        <is>
          <t>Licitación Pública</t>
        </is>
      </c>
      <c r="L32" t="n">
        <v>650000</v>
      </c>
      <c r="M32" t="inlineStr">
        <is>
          <t>USD</t>
        </is>
      </c>
      <c r="N32" t="inlineStr">
        <is>
          <t>Adjudicado</t>
        </is>
      </c>
      <c r="O32" t="inlineStr">
        <is>
          <t>Philips Healthcare</t>
        </is>
      </c>
      <c r="P32" t="inlineStr">
        <is>
          <t>Incisive CT 128</t>
        </is>
      </c>
      <c r="Q32" t="n">
        <v>2</v>
      </c>
      <c r="R32" t="inlineStr">
        <is>
          <t>Sí</t>
        </is>
      </c>
      <c r="S32" t="inlineStr">
        <is>
          <t>No</t>
        </is>
      </c>
      <c r="U32" t="n">
        <v>128</v>
      </c>
    </row>
    <row r="33">
      <c r="A33" t="inlineStr">
        <is>
          <t>LP-0086-2020-SEACE</t>
        </is>
      </c>
      <c r="B33" t="inlineStr">
        <is>
          <t>Perú</t>
        </is>
      </c>
      <c r="C33" t="inlineStr">
        <is>
          <t>SEACE</t>
        </is>
      </c>
      <c r="D33" t="inlineStr">
        <is>
          <t>La Libertad</t>
        </is>
      </c>
      <c r="E33" t="inlineStr">
        <is>
          <t>Clínica Ricardo Palma S.A.</t>
        </is>
      </c>
      <c r="F33" t="inlineStr">
        <is>
          <t>Tomógrafo CT 128 cortes</t>
        </is>
      </c>
      <c r="G33" t="inlineStr">
        <is>
          <t>CT</t>
        </is>
      </c>
      <c r="H33" t="inlineStr">
        <is>
          <t>2020-11-02</t>
        </is>
      </c>
      <c r="I33" t="n">
        <v>2020</v>
      </c>
      <c r="J33" t="inlineStr">
        <is>
          <t>Q4</t>
        </is>
      </c>
      <c r="K33" t="inlineStr">
        <is>
          <t>Subasta Inversa Electrónica</t>
        </is>
      </c>
      <c r="L33" t="n">
        <v>663000</v>
      </c>
      <c r="M33" t="inlineStr">
        <is>
          <t>USD</t>
        </is>
      </c>
      <c r="N33" t="inlineStr">
        <is>
          <t>Adjudicado</t>
        </is>
      </c>
      <c r="O33" t="inlineStr">
        <is>
          <t>Philips Healthcare</t>
        </is>
      </c>
      <c r="P33" t="inlineStr">
        <is>
          <t>Incisive CT 128</t>
        </is>
      </c>
      <c r="Q33" t="n">
        <v>1</v>
      </c>
      <c r="R33" t="inlineStr">
        <is>
          <t>Sí</t>
        </is>
      </c>
      <c r="S33" t="inlineStr">
        <is>
          <t>No</t>
        </is>
      </c>
      <c r="U33" t="n">
        <v>128</v>
      </c>
    </row>
    <row r="34">
      <c r="A34" t="inlineStr">
        <is>
          <t>LP-0070-2020-SEACE</t>
        </is>
      </c>
      <c r="B34" t="inlineStr">
        <is>
          <t>Perú</t>
        </is>
      </c>
      <c r="C34" t="inlineStr">
        <is>
          <t>SEACE</t>
        </is>
      </c>
      <c r="D34" t="inlineStr">
        <is>
          <t>Cusco</t>
        </is>
      </c>
      <c r="E34" t="inlineStr">
        <is>
          <t>Hospital Regional Honorio Delgado (Arequipa)</t>
        </is>
      </c>
      <c r="F34" t="inlineStr">
        <is>
          <t>Resonancia Magnética 3T</t>
        </is>
      </c>
      <c r="G34" t="inlineStr">
        <is>
          <t>MR</t>
        </is>
      </c>
      <c r="H34" t="inlineStr">
        <is>
          <t>2020-11-03</t>
        </is>
      </c>
      <c r="I34" t="n">
        <v>2020</v>
      </c>
      <c r="J34" t="inlineStr">
        <is>
          <t>Q4</t>
        </is>
      </c>
      <c r="K34" t="inlineStr">
        <is>
          <t>Subasta Inversa Electrónica</t>
        </is>
      </c>
      <c r="L34" t="n">
        <v>1539000</v>
      </c>
      <c r="M34" t="inlineStr">
        <is>
          <t>USD</t>
        </is>
      </c>
      <c r="N34" t="inlineStr">
        <is>
          <t>Adjudicado</t>
        </is>
      </c>
      <c r="O34" t="inlineStr">
        <is>
          <t>Siemens Healthineers</t>
        </is>
      </c>
      <c r="P34" t="inlineStr">
        <is>
          <t>MAGNETOM Vida</t>
        </is>
      </c>
      <c r="Q34" t="n">
        <v>3</v>
      </c>
      <c r="R34" t="inlineStr">
        <is>
          <t>Sí</t>
        </is>
      </c>
      <c r="S34" t="inlineStr">
        <is>
          <t>Sí</t>
        </is>
      </c>
      <c r="T34" t="n">
        <v>3</v>
      </c>
    </row>
    <row r="35">
      <c r="A35" t="inlineStr">
        <is>
          <t>SIE-0005-2020-SERCOP</t>
        </is>
      </c>
      <c r="B35" t="inlineStr">
        <is>
          <t>Ecuador</t>
        </is>
      </c>
      <c r="C35" t="inlineStr">
        <is>
          <t>SERCOP</t>
        </is>
      </c>
      <c r="D35" t="inlineStr">
        <is>
          <t>Pichincha</t>
        </is>
      </c>
      <c r="E35" t="inlineStr">
        <is>
          <t>SOLCA Núcleo de Quito</t>
        </is>
      </c>
      <c r="F35" t="inlineStr">
        <is>
          <t>Resonancia Magnética 3T</t>
        </is>
      </c>
      <c r="G35" t="inlineStr">
        <is>
          <t>MR</t>
        </is>
      </c>
      <c r="H35" t="inlineStr">
        <is>
          <t>2020-11-08</t>
        </is>
      </c>
      <c r="I35" t="n">
        <v>2020</v>
      </c>
      <c r="J35" t="inlineStr">
        <is>
          <t>Q4</t>
        </is>
      </c>
      <c r="K35" t="inlineStr">
        <is>
          <t>Cotización</t>
        </is>
      </c>
      <c r="L35" t="n">
        <v>1934000</v>
      </c>
      <c r="M35" t="inlineStr">
        <is>
          <t>USD</t>
        </is>
      </c>
      <c r="N35" t="inlineStr">
        <is>
          <t>Adjudicado</t>
        </is>
      </c>
      <c r="O35" t="inlineStr">
        <is>
          <t>GE Healthcare</t>
        </is>
      </c>
      <c r="P35" t="inlineStr">
        <is>
          <t>SIGNA Premier</t>
        </is>
      </c>
      <c r="Q35" t="n">
        <v>3</v>
      </c>
      <c r="R35" t="inlineStr">
        <is>
          <t>Sí</t>
        </is>
      </c>
      <c r="S35" t="inlineStr">
        <is>
          <t>Sí</t>
        </is>
      </c>
      <c r="T35" t="n">
        <v>3</v>
      </c>
    </row>
    <row r="36">
      <c r="A36" t="inlineStr">
        <is>
          <t>LP-0118-2020-SEACE</t>
        </is>
      </c>
      <c r="B36" t="inlineStr">
        <is>
          <t>Perú</t>
        </is>
      </c>
      <c r="C36" t="inlineStr">
        <is>
          <t>SEACE</t>
        </is>
      </c>
      <c r="D36" t="inlineStr">
        <is>
          <t>Lima</t>
        </is>
      </c>
      <c r="E36" t="inlineStr">
        <is>
          <t>Hospital Nacional Carlos Alberto Seguín Escobedo (EsSalud Arequipa)</t>
        </is>
      </c>
      <c r="F36" t="inlineStr">
        <is>
          <t>Tomógrafo CT 64 cortes</t>
        </is>
      </c>
      <c r="G36" t="inlineStr">
        <is>
          <t>CT</t>
        </is>
      </c>
      <c r="H36" t="inlineStr">
        <is>
          <t>2020-12-13</t>
        </is>
      </c>
      <c r="I36" t="n">
        <v>2020</v>
      </c>
      <c r="J36" t="inlineStr">
        <is>
          <t>Q4</t>
        </is>
      </c>
      <c r="K36" t="inlineStr">
        <is>
          <t>Licitación Pública</t>
        </is>
      </c>
      <c r="L36" t="n">
        <v>376000</v>
      </c>
      <c r="M36" t="inlineStr">
        <is>
          <t>USD</t>
        </is>
      </c>
      <c r="N36" t="inlineStr">
        <is>
          <t>Adjudicado</t>
        </is>
      </c>
      <c r="O36" t="inlineStr">
        <is>
          <t>Philips Healthcare</t>
        </is>
      </c>
      <c r="P36" t="inlineStr">
        <is>
          <t>Incisive CT</t>
        </is>
      </c>
      <c r="Q36" t="n">
        <v>1</v>
      </c>
      <c r="R36" t="inlineStr">
        <is>
          <t>Sí</t>
        </is>
      </c>
      <c r="S36" t="inlineStr">
        <is>
          <t>No</t>
        </is>
      </c>
      <c r="U36" t="n">
        <v>64</v>
      </c>
    </row>
    <row r="37">
      <c r="A37" t="inlineStr">
        <is>
          <t>SIE-0014-2020-SERCOP</t>
        </is>
      </c>
      <c r="B37" t="inlineStr">
        <is>
          <t>Ecuador</t>
        </is>
      </c>
      <c r="C37" t="inlineStr">
        <is>
          <t>SERCOP</t>
        </is>
      </c>
      <c r="D37" t="inlineStr">
        <is>
          <t>Guayas</t>
        </is>
      </c>
      <c r="E37" t="inlineStr">
        <is>
          <t>Ministerio de Salud Pública - Hospital Eugenio Espejo</t>
        </is>
      </c>
      <c r="F37" t="inlineStr">
        <is>
          <t>Resonancia Magnética 3T</t>
        </is>
      </c>
      <c r="G37" t="inlineStr">
        <is>
          <t>MR</t>
        </is>
      </c>
      <c r="H37" t="inlineStr">
        <is>
          <t>2020-12-13</t>
        </is>
      </c>
      <c r="I37" t="n">
        <v>2020</v>
      </c>
      <c r="J37" t="inlineStr">
        <is>
          <t>Q4</t>
        </is>
      </c>
      <c r="K37" t="inlineStr">
        <is>
          <t>Cotización</t>
        </is>
      </c>
      <c r="L37" t="n">
        <v>1926000</v>
      </c>
      <c r="M37" t="inlineStr">
        <is>
          <t>USD</t>
        </is>
      </c>
      <c r="N37" t="inlineStr">
        <is>
          <t>Adjudicado</t>
        </is>
      </c>
      <c r="O37" t="inlineStr">
        <is>
          <t>Philips Healthcare</t>
        </is>
      </c>
      <c r="P37" t="inlineStr">
        <is>
          <t>Ingenia Elition</t>
        </is>
      </c>
      <c r="Q37" t="n">
        <v>1</v>
      </c>
      <c r="R37" t="inlineStr">
        <is>
          <t>No</t>
        </is>
      </c>
      <c r="S37" t="inlineStr">
        <is>
          <t>No</t>
        </is>
      </c>
      <c r="T37" t="n">
        <v>3</v>
      </c>
    </row>
    <row r="38">
      <c r="A38" t="inlineStr">
        <is>
          <t>LP-0059-2020-SEACE</t>
        </is>
      </c>
      <c r="B38" t="inlineStr">
        <is>
          <t>Perú</t>
        </is>
      </c>
      <c r="C38" t="inlineStr">
        <is>
          <t>SEACE</t>
        </is>
      </c>
      <c r="D38" t="inlineStr">
        <is>
          <t>Lambayeque</t>
        </is>
      </c>
      <c r="E38" t="inlineStr">
        <is>
          <t>Hospital Nacional Carlos Alberto Seguín Escobedo (EsSalud Arequipa)</t>
        </is>
      </c>
      <c r="F38" t="inlineStr">
        <is>
          <t>Tomógrafo CT 64 cortes</t>
        </is>
      </c>
      <c r="G38" t="inlineStr">
        <is>
          <t>CT</t>
        </is>
      </c>
      <c r="H38" t="inlineStr">
        <is>
          <t>2020-12-20</t>
        </is>
      </c>
      <c r="I38" t="n">
        <v>2020</v>
      </c>
      <c r="J38" t="inlineStr">
        <is>
          <t>Q4</t>
        </is>
      </c>
      <c r="K38" t="inlineStr">
        <is>
          <t>Subasta Inversa Electrónica</t>
        </is>
      </c>
      <c r="L38" t="n">
        <v>386000</v>
      </c>
      <c r="M38" t="inlineStr">
        <is>
          <t>USD</t>
        </is>
      </c>
      <c r="N38" t="inlineStr">
        <is>
          <t>Adjudicado</t>
        </is>
      </c>
      <c r="O38" t="inlineStr">
        <is>
          <t>GE Healthcare</t>
        </is>
      </c>
      <c r="P38" t="inlineStr">
        <is>
          <t>Revolution EVO</t>
        </is>
      </c>
      <c r="Q38" t="n">
        <v>5</v>
      </c>
      <c r="R38" t="inlineStr">
        <is>
          <t>No</t>
        </is>
      </c>
      <c r="S38" t="inlineStr">
        <is>
          <t>No</t>
        </is>
      </c>
      <c r="U38" t="n">
        <v>64</v>
      </c>
    </row>
    <row r="39">
      <c r="A39" t="inlineStr">
        <is>
          <t>SIE-0040-2020-SERCOP</t>
        </is>
      </c>
      <c r="B39" t="inlineStr">
        <is>
          <t>Ecuador</t>
        </is>
      </c>
      <c r="C39" t="inlineStr">
        <is>
          <t>SERCOP</t>
        </is>
      </c>
      <c r="D39" t="inlineStr">
        <is>
          <t>Tungurahua</t>
        </is>
      </c>
      <c r="E39" t="inlineStr">
        <is>
          <t>Ministerio de Salud Pública - Hospital Eugenio Espejo</t>
        </is>
      </c>
      <c r="F39" t="inlineStr">
        <is>
          <t>Resonancia Magnética 3T</t>
        </is>
      </c>
      <c r="G39" t="inlineStr">
        <is>
          <t>MR</t>
        </is>
      </c>
      <c r="H39" t="inlineStr">
        <is>
          <t>2020-12-25</t>
        </is>
      </c>
      <c r="I39" t="n">
        <v>2020</v>
      </c>
      <c r="J39" t="inlineStr">
        <is>
          <t>Q4</t>
        </is>
      </c>
      <c r="K39" t="inlineStr">
        <is>
          <t>Menor Cuantía</t>
        </is>
      </c>
      <c r="L39" t="n">
        <v>1723000</v>
      </c>
      <c r="M39" t="inlineStr">
        <is>
          <t>USD</t>
        </is>
      </c>
      <c r="N39" t="inlineStr">
        <is>
          <t>Adjudicado</t>
        </is>
      </c>
      <c r="O39" t="inlineStr">
        <is>
          <t>Philips Healthcare</t>
        </is>
      </c>
      <c r="P39" t="inlineStr">
        <is>
          <t>Ingenia Elition</t>
        </is>
      </c>
      <c r="Q39" t="n">
        <v>1</v>
      </c>
      <c r="R39" t="inlineStr">
        <is>
          <t>No</t>
        </is>
      </c>
      <c r="S39" t="inlineStr">
        <is>
          <t>No</t>
        </is>
      </c>
      <c r="T39" t="n">
        <v>3</v>
      </c>
    </row>
    <row r="40">
      <c r="A40" t="inlineStr">
        <is>
          <t>LP-0095-2021-SEACE</t>
        </is>
      </c>
      <c r="B40" t="inlineStr">
        <is>
          <t>Perú</t>
        </is>
      </c>
      <c r="C40" t="inlineStr">
        <is>
          <t>SEACE</t>
        </is>
      </c>
      <c r="D40" t="inlineStr">
        <is>
          <t>Piura</t>
        </is>
      </c>
      <c r="E40" t="inlineStr">
        <is>
          <t>Hospital Nacional Cayetano Heredia (MINSA)</t>
        </is>
      </c>
      <c r="F40" t="inlineStr">
        <is>
          <t>Tomógrafo CT 256 cortes</t>
        </is>
      </c>
      <c r="G40" t="inlineStr">
        <is>
          <t>CT</t>
        </is>
      </c>
      <c r="H40" t="inlineStr">
        <is>
          <t>2021-01-04</t>
        </is>
      </c>
      <c r="I40" t="n">
        <v>2021</v>
      </c>
      <c r="J40" t="inlineStr">
        <is>
          <t>Q1</t>
        </is>
      </c>
      <c r="K40" t="inlineStr">
        <is>
          <t>Adjudicación Simplificada</t>
        </is>
      </c>
      <c r="L40" t="n">
        <v>863000</v>
      </c>
      <c r="M40" t="inlineStr">
        <is>
          <t>USD</t>
        </is>
      </c>
      <c r="N40" t="inlineStr">
        <is>
          <t>Desierto</t>
        </is>
      </c>
      <c r="Q40" t="n">
        <v>0</v>
      </c>
      <c r="R40" t="inlineStr">
        <is>
          <t>Sí</t>
        </is>
      </c>
      <c r="S40" t="inlineStr">
        <is>
          <t>Sí</t>
        </is>
      </c>
      <c r="U40" t="n">
        <v>256</v>
      </c>
    </row>
    <row r="41">
      <c r="A41" t="inlineStr">
        <is>
          <t>LP-0010-2021-SEACE</t>
        </is>
      </c>
      <c r="B41" t="inlineStr">
        <is>
          <t>Perú</t>
        </is>
      </c>
      <c r="C41" t="inlineStr">
        <is>
          <t>SEACE</t>
        </is>
      </c>
      <c r="D41" t="inlineStr">
        <is>
          <t>Lima</t>
        </is>
      </c>
      <c r="E41" t="inlineStr">
        <is>
          <t>Hospital Regional de Lambayeque</t>
        </is>
      </c>
      <c r="F41" t="inlineStr">
        <is>
          <t>Resonancia Magnética 3T</t>
        </is>
      </c>
      <c r="G41" t="inlineStr">
        <is>
          <t>MR</t>
        </is>
      </c>
      <c r="H41" t="inlineStr">
        <is>
          <t>2021-01-07</t>
        </is>
      </c>
      <c r="I41" t="n">
        <v>2021</v>
      </c>
      <c r="J41" t="inlineStr">
        <is>
          <t>Q1</t>
        </is>
      </c>
      <c r="K41" t="inlineStr">
        <is>
          <t>Adjudicación Simplificada</t>
        </is>
      </c>
      <c r="L41" t="n">
        <v>1808000</v>
      </c>
      <c r="M41" t="inlineStr">
        <is>
          <t>USD</t>
        </is>
      </c>
      <c r="N41" t="inlineStr">
        <is>
          <t>Adjudicado</t>
        </is>
      </c>
      <c r="O41" t="inlineStr">
        <is>
          <t>Siemens Healthineers</t>
        </is>
      </c>
      <c r="P41" t="inlineStr">
        <is>
          <t>MAGNETOM Vida</t>
        </is>
      </c>
      <c r="Q41" t="n">
        <v>4</v>
      </c>
      <c r="R41" t="inlineStr">
        <is>
          <t>No</t>
        </is>
      </c>
      <c r="S41" t="inlineStr">
        <is>
          <t>Sí</t>
        </is>
      </c>
      <c r="T41" t="n">
        <v>3</v>
      </c>
    </row>
    <row r="42">
      <c r="A42" t="inlineStr">
        <is>
          <t>LP-0069-2021-SEACE</t>
        </is>
      </c>
      <c r="B42" t="inlineStr">
        <is>
          <t>Perú</t>
        </is>
      </c>
      <c r="C42" t="inlineStr">
        <is>
          <t>SEACE</t>
        </is>
      </c>
      <c r="D42" t="inlineStr">
        <is>
          <t>Arequipa</t>
        </is>
      </c>
      <c r="E42" t="inlineStr">
        <is>
          <t>Hospital Nacional Arzobispo Loayza (MINSA)</t>
        </is>
      </c>
      <c r="F42" t="inlineStr">
        <is>
          <t>Tomógrafo CT 64 cortes</t>
        </is>
      </c>
      <c r="G42" t="inlineStr">
        <is>
          <t>CT</t>
        </is>
      </c>
      <c r="H42" t="inlineStr">
        <is>
          <t>2021-02-10</t>
        </is>
      </c>
      <c r="I42" t="n">
        <v>2021</v>
      </c>
      <c r="J42" t="inlineStr">
        <is>
          <t>Q1</t>
        </is>
      </c>
      <c r="K42" t="inlineStr">
        <is>
          <t>Concurso Público</t>
        </is>
      </c>
      <c r="L42" t="n">
        <v>365000</v>
      </c>
      <c r="M42" t="inlineStr">
        <is>
          <t>USD</t>
        </is>
      </c>
      <c r="N42" t="inlineStr">
        <is>
          <t>Desierto</t>
        </is>
      </c>
      <c r="Q42" t="n">
        <v>0</v>
      </c>
      <c r="R42" t="inlineStr">
        <is>
          <t>No</t>
        </is>
      </c>
      <c r="S42" t="inlineStr">
        <is>
          <t>Sí</t>
        </is>
      </c>
      <c r="U42" t="n">
        <v>64</v>
      </c>
    </row>
    <row r="43">
      <c r="A43" t="inlineStr">
        <is>
          <t>LP-0085-2021-SEACE</t>
        </is>
      </c>
      <c r="B43" t="inlineStr">
        <is>
          <t>Perú</t>
        </is>
      </c>
      <c r="C43" t="inlineStr">
        <is>
          <t>SEACE</t>
        </is>
      </c>
      <c r="D43" t="inlineStr">
        <is>
          <t>Lambayeque</t>
        </is>
      </c>
      <c r="E43" t="inlineStr">
        <is>
          <t>Clínica Internacional S.A.</t>
        </is>
      </c>
      <c r="F43" t="inlineStr">
        <is>
          <t>Tomógrafo CT 256 cortes</t>
        </is>
      </c>
      <c r="G43" t="inlineStr">
        <is>
          <t>CT</t>
        </is>
      </c>
      <c r="H43" t="inlineStr">
        <is>
          <t>2021-02-15</t>
        </is>
      </c>
      <c r="I43" t="n">
        <v>2021</v>
      </c>
      <c r="J43" t="inlineStr">
        <is>
          <t>Q1</t>
        </is>
      </c>
      <c r="K43" t="inlineStr">
        <is>
          <t>Subasta Inversa Electrónica</t>
        </is>
      </c>
      <c r="L43" t="n">
        <v>803000</v>
      </c>
      <c r="M43" t="inlineStr">
        <is>
          <t>USD</t>
        </is>
      </c>
      <c r="N43" t="inlineStr">
        <is>
          <t>Adjudicado</t>
        </is>
      </c>
      <c r="O43" t="inlineStr">
        <is>
          <t>Philips Healthcare</t>
        </is>
      </c>
      <c r="P43" t="inlineStr">
        <is>
          <t>IQon Spectral CT</t>
        </is>
      </c>
      <c r="Q43" t="n">
        <v>1</v>
      </c>
      <c r="R43" t="inlineStr">
        <is>
          <t>No</t>
        </is>
      </c>
      <c r="S43" t="inlineStr">
        <is>
          <t>Sí</t>
        </is>
      </c>
      <c r="U43" t="n">
        <v>256</v>
      </c>
    </row>
    <row r="44">
      <c r="A44" t="inlineStr">
        <is>
          <t>LP-0088-2021-SEACE</t>
        </is>
      </c>
      <c r="B44" t="inlineStr">
        <is>
          <t>Perú</t>
        </is>
      </c>
      <c r="C44" t="inlineStr">
        <is>
          <t>SEACE</t>
        </is>
      </c>
      <c r="D44" t="inlineStr">
        <is>
          <t>La Libertad</t>
        </is>
      </c>
      <c r="E44" t="inlineStr">
        <is>
          <t>Hospital Nacional Edgardo Rebagliati Martins (EsSalud)</t>
        </is>
      </c>
      <c r="F44" t="inlineStr">
        <is>
          <t>Tomógrafo CT 128 cortes</t>
        </is>
      </c>
      <c r="G44" t="inlineStr">
        <is>
          <t>CT</t>
        </is>
      </c>
      <c r="H44" t="inlineStr">
        <is>
          <t>2021-02-15</t>
        </is>
      </c>
      <c r="I44" t="n">
        <v>2021</v>
      </c>
      <c r="J44" t="inlineStr">
        <is>
          <t>Q1</t>
        </is>
      </c>
      <c r="K44" t="inlineStr">
        <is>
          <t>Licitación Pública</t>
        </is>
      </c>
      <c r="L44" t="n">
        <v>625000</v>
      </c>
      <c r="M44" t="inlineStr">
        <is>
          <t>USD</t>
        </is>
      </c>
      <c r="N44" t="inlineStr">
        <is>
          <t>Adjudicado</t>
        </is>
      </c>
      <c r="O44" t="inlineStr">
        <is>
          <t>Siemens Healthineers</t>
        </is>
      </c>
      <c r="P44" t="inlineStr">
        <is>
          <t>SOMATOM go.Top</t>
        </is>
      </c>
      <c r="Q44" t="n">
        <v>3</v>
      </c>
      <c r="R44" t="inlineStr">
        <is>
          <t>Sí</t>
        </is>
      </c>
      <c r="S44" t="inlineStr">
        <is>
          <t>No</t>
        </is>
      </c>
      <c r="U44" t="n">
        <v>128</v>
      </c>
    </row>
    <row r="45">
      <c r="A45" t="inlineStr">
        <is>
          <t>SIE-0016-2021-SERCOP</t>
        </is>
      </c>
      <c r="B45" t="inlineStr">
        <is>
          <t>Ecuador</t>
        </is>
      </c>
      <c r="C45" t="inlineStr">
        <is>
          <t>SERCOP</t>
        </is>
      </c>
      <c r="D45" t="inlineStr">
        <is>
          <t>Azuay</t>
        </is>
      </c>
      <c r="E45" t="inlineStr">
        <is>
          <t>SOLCA Núcleo de Quito</t>
        </is>
      </c>
      <c r="F45" t="inlineStr">
        <is>
          <t>Resonancia Magnética 3T</t>
        </is>
      </c>
      <c r="G45" t="inlineStr">
        <is>
          <t>MR</t>
        </is>
      </c>
      <c r="H45" t="inlineStr">
        <is>
          <t>2021-02-18</t>
        </is>
      </c>
      <c r="I45" t="n">
        <v>2021</v>
      </c>
      <c r="J45" t="inlineStr">
        <is>
          <t>Q1</t>
        </is>
      </c>
      <c r="K45" t="inlineStr">
        <is>
          <t>Licitación</t>
        </is>
      </c>
      <c r="L45" t="n">
        <v>1637000</v>
      </c>
      <c r="M45" t="inlineStr">
        <is>
          <t>USD</t>
        </is>
      </c>
      <c r="N45" t="inlineStr">
        <is>
          <t>Adjudicado</t>
        </is>
      </c>
      <c r="O45" t="inlineStr">
        <is>
          <t>Siemens Healthineers</t>
        </is>
      </c>
      <c r="P45" t="inlineStr">
        <is>
          <t>MAGNETOM Vida</t>
        </is>
      </c>
      <c r="Q45" t="n">
        <v>3</v>
      </c>
      <c r="R45" t="inlineStr">
        <is>
          <t>No</t>
        </is>
      </c>
      <c r="S45" t="inlineStr">
        <is>
          <t>Sí</t>
        </is>
      </c>
      <c r="T45" t="n">
        <v>3</v>
      </c>
    </row>
    <row r="46">
      <c r="A46" t="inlineStr">
        <is>
          <t>LP-0076-2021-SEACE</t>
        </is>
      </c>
      <c r="B46" t="inlineStr">
        <is>
          <t>Perú</t>
        </is>
      </c>
      <c r="C46" t="inlineStr">
        <is>
          <t>SEACE</t>
        </is>
      </c>
      <c r="D46" t="inlineStr">
        <is>
          <t>Piura</t>
        </is>
      </c>
      <c r="E46" t="inlineStr">
        <is>
          <t>Hospital Regional Honorio Delgado (Arequipa)</t>
        </is>
      </c>
      <c r="F46" t="inlineStr">
        <is>
          <t>Tomógrafo CT 64 cortes</t>
        </is>
      </c>
      <c r="G46" t="inlineStr">
        <is>
          <t>CT</t>
        </is>
      </c>
      <c r="H46" t="inlineStr">
        <is>
          <t>2021-03-04</t>
        </is>
      </c>
      <c r="I46" t="n">
        <v>2021</v>
      </c>
      <c r="J46" t="inlineStr">
        <is>
          <t>Q1</t>
        </is>
      </c>
      <c r="K46" t="inlineStr">
        <is>
          <t>Subasta Inversa Electrónica</t>
        </is>
      </c>
      <c r="L46" t="n">
        <v>310000</v>
      </c>
      <c r="M46" t="inlineStr">
        <is>
          <t>USD</t>
        </is>
      </c>
      <c r="N46" t="inlineStr">
        <is>
          <t>Adjudicado</t>
        </is>
      </c>
      <c r="O46" t="inlineStr">
        <is>
          <t>Canon Medical</t>
        </is>
      </c>
      <c r="P46" t="inlineStr">
        <is>
          <t>Aquilion Lightning</t>
        </is>
      </c>
      <c r="Q46" t="n">
        <v>3</v>
      </c>
      <c r="R46" t="inlineStr">
        <is>
          <t>No</t>
        </is>
      </c>
      <c r="S46" t="inlineStr">
        <is>
          <t>No</t>
        </is>
      </c>
      <c r="U46" t="n">
        <v>64</v>
      </c>
    </row>
    <row r="47">
      <c r="A47" t="inlineStr">
        <is>
          <t>SIE-0004-2021-SERCOP</t>
        </is>
      </c>
      <c r="B47" t="inlineStr">
        <is>
          <t>Ecuador</t>
        </is>
      </c>
      <c r="C47" t="inlineStr">
        <is>
          <t>SERCOP</t>
        </is>
      </c>
      <c r="D47" t="inlineStr">
        <is>
          <t>Azuay</t>
        </is>
      </c>
      <c r="E47" t="inlineStr">
        <is>
          <t>Hospital Teodoro Maldonado Carbo (IESS Guayaquil)</t>
        </is>
      </c>
      <c r="F47" t="inlineStr">
        <is>
          <t>Tomógrafo CT 64 cortes</t>
        </is>
      </c>
      <c r="G47" t="inlineStr">
        <is>
          <t>CT</t>
        </is>
      </c>
      <c r="H47" t="inlineStr">
        <is>
          <t>2021-03-09</t>
        </is>
      </c>
      <c r="I47" t="n">
        <v>2021</v>
      </c>
      <c r="J47" t="inlineStr">
        <is>
          <t>Q1</t>
        </is>
      </c>
      <c r="K47" t="inlineStr">
        <is>
          <t>Licitación</t>
        </is>
      </c>
      <c r="L47" t="n">
        <v>341000</v>
      </c>
      <c r="M47" t="inlineStr">
        <is>
          <t>USD</t>
        </is>
      </c>
      <c r="N47" t="inlineStr">
        <is>
          <t>Adjudicado</t>
        </is>
      </c>
      <c r="O47" t="inlineStr">
        <is>
          <t>Siemens Healthineers</t>
        </is>
      </c>
      <c r="P47" t="inlineStr">
        <is>
          <t>SOMATOM go.Up</t>
        </is>
      </c>
      <c r="Q47" t="n">
        <v>4</v>
      </c>
      <c r="R47" t="inlineStr">
        <is>
          <t>Sí</t>
        </is>
      </c>
      <c r="S47" t="inlineStr">
        <is>
          <t>No</t>
        </is>
      </c>
      <c r="U47" t="n">
        <v>64</v>
      </c>
    </row>
    <row r="48">
      <c r="A48" t="inlineStr">
        <is>
          <t>LP-0092-2021-SEACE</t>
        </is>
      </c>
      <c r="B48" t="inlineStr">
        <is>
          <t>Perú</t>
        </is>
      </c>
      <c r="C48" t="inlineStr">
        <is>
          <t>SEACE</t>
        </is>
      </c>
      <c r="D48" t="inlineStr">
        <is>
          <t>Ica</t>
        </is>
      </c>
      <c r="E48" t="inlineStr">
        <is>
          <t>Clínica Ricardo Palma S.A.</t>
        </is>
      </c>
      <c r="F48" t="inlineStr">
        <is>
          <t>Resonancia Magnética 3T</t>
        </is>
      </c>
      <c r="G48" t="inlineStr">
        <is>
          <t>MR</t>
        </is>
      </c>
      <c r="H48" t="inlineStr">
        <is>
          <t>2021-03-12</t>
        </is>
      </c>
      <c r="I48" t="n">
        <v>2021</v>
      </c>
      <c r="J48" t="inlineStr">
        <is>
          <t>Q1</t>
        </is>
      </c>
      <c r="K48" t="inlineStr">
        <is>
          <t>Concurso Público</t>
        </is>
      </c>
      <c r="L48" t="n">
        <v>1990000</v>
      </c>
      <c r="M48" t="inlineStr">
        <is>
          <t>USD</t>
        </is>
      </c>
      <c r="N48" t="inlineStr">
        <is>
          <t>Adjudicado</t>
        </is>
      </c>
      <c r="O48" t="inlineStr">
        <is>
          <t>GE Healthcare</t>
        </is>
      </c>
      <c r="P48" t="inlineStr">
        <is>
          <t>SIGNA Premier</t>
        </is>
      </c>
      <c r="Q48" t="n">
        <v>3</v>
      </c>
      <c r="R48" t="inlineStr">
        <is>
          <t>Sí</t>
        </is>
      </c>
      <c r="S48" t="inlineStr">
        <is>
          <t>No</t>
        </is>
      </c>
      <c r="T48" t="n">
        <v>3</v>
      </c>
    </row>
    <row r="49">
      <c r="A49" t="inlineStr">
        <is>
          <t>LP-0044-2021-SEACE</t>
        </is>
      </c>
      <c r="B49" t="inlineStr">
        <is>
          <t>Perú</t>
        </is>
      </c>
      <c r="C49" t="inlineStr">
        <is>
          <t>SEACE</t>
        </is>
      </c>
      <c r="D49" t="inlineStr">
        <is>
          <t>Arequipa</t>
        </is>
      </c>
      <c r="E49" t="inlineStr">
        <is>
          <t>Hospital Nacional Carlos Alberto Seguín Escobedo (EsSalud Arequipa)</t>
        </is>
      </c>
      <c r="F49" t="inlineStr">
        <is>
          <t>Resonancia Magnética 3T</t>
        </is>
      </c>
      <c r="G49" t="inlineStr">
        <is>
          <t>MR</t>
        </is>
      </c>
      <c r="H49" t="inlineStr">
        <is>
          <t>2021-03-12</t>
        </is>
      </c>
      <c r="I49" t="n">
        <v>2021</v>
      </c>
      <c r="J49" t="inlineStr">
        <is>
          <t>Q1</t>
        </is>
      </c>
      <c r="K49" t="inlineStr">
        <is>
          <t>Subasta Inversa Electrónica</t>
        </is>
      </c>
      <c r="L49" t="n">
        <v>1909000</v>
      </c>
      <c r="M49" t="inlineStr">
        <is>
          <t>USD</t>
        </is>
      </c>
      <c r="N49" t="inlineStr">
        <is>
          <t>Adjudicado</t>
        </is>
      </c>
      <c r="O49" t="inlineStr">
        <is>
          <t>Philips Healthcare</t>
        </is>
      </c>
      <c r="P49" t="inlineStr">
        <is>
          <t>Ingenia Elition</t>
        </is>
      </c>
      <c r="Q49" t="n">
        <v>1</v>
      </c>
      <c r="R49" t="inlineStr">
        <is>
          <t>No</t>
        </is>
      </c>
      <c r="S49" t="inlineStr">
        <is>
          <t>Sí</t>
        </is>
      </c>
      <c r="T49" t="n">
        <v>3</v>
      </c>
    </row>
    <row r="50">
      <c r="A50" t="inlineStr">
        <is>
          <t>LP-0055-2021-SEACE</t>
        </is>
      </c>
      <c r="B50" t="inlineStr">
        <is>
          <t>Perú</t>
        </is>
      </c>
      <c r="C50" t="inlineStr">
        <is>
          <t>SEACE</t>
        </is>
      </c>
      <c r="D50" t="inlineStr">
        <is>
          <t>Lima</t>
        </is>
      </c>
      <c r="E50" t="inlineStr">
        <is>
          <t>Hospital Nacional Guillermo Almenara Irigoyen (EsSalud)</t>
        </is>
      </c>
      <c r="F50" t="inlineStr">
        <is>
          <t>Tomógrafo CT 256 cortes</t>
        </is>
      </c>
      <c r="G50" t="inlineStr">
        <is>
          <t>CT</t>
        </is>
      </c>
      <c r="H50" t="inlineStr">
        <is>
          <t>2021-04-14</t>
        </is>
      </c>
      <c r="I50" t="n">
        <v>2021</v>
      </c>
      <c r="J50" t="inlineStr">
        <is>
          <t>Q2</t>
        </is>
      </c>
      <c r="K50" t="inlineStr">
        <is>
          <t>Licitación Pública</t>
        </is>
      </c>
      <c r="L50" t="n">
        <v>961000</v>
      </c>
      <c r="M50" t="inlineStr">
        <is>
          <t>USD</t>
        </is>
      </c>
      <c r="N50" t="inlineStr">
        <is>
          <t>Adjudicado</t>
        </is>
      </c>
      <c r="O50" t="inlineStr">
        <is>
          <t>Philips Healthcare</t>
        </is>
      </c>
      <c r="P50" t="inlineStr">
        <is>
          <t>IQon Spectral CT</t>
        </is>
      </c>
      <c r="Q50" t="n">
        <v>3</v>
      </c>
      <c r="R50" t="inlineStr">
        <is>
          <t>No</t>
        </is>
      </c>
      <c r="S50" t="inlineStr">
        <is>
          <t>No</t>
        </is>
      </c>
      <c r="U50" t="n">
        <v>256</v>
      </c>
    </row>
    <row r="51">
      <c r="A51" t="inlineStr">
        <is>
          <t>LP-0103-2021-SEACE</t>
        </is>
      </c>
      <c r="B51" t="inlineStr">
        <is>
          <t>Perú</t>
        </is>
      </c>
      <c r="C51" t="inlineStr">
        <is>
          <t>SEACE</t>
        </is>
      </c>
      <c r="D51" t="inlineStr">
        <is>
          <t>Lambayeque</t>
        </is>
      </c>
      <c r="E51" t="inlineStr">
        <is>
          <t>Hospital Regional de Lambayeque</t>
        </is>
      </c>
      <c r="F51" t="inlineStr">
        <is>
          <t>Resonancia Magnética 1.5T</t>
        </is>
      </c>
      <c r="G51" t="inlineStr">
        <is>
          <t>MR</t>
        </is>
      </c>
      <c r="H51" t="inlineStr">
        <is>
          <t>2021-05-15</t>
        </is>
      </c>
      <c r="I51" t="n">
        <v>2021</v>
      </c>
      <c r="J51" t="inlineStr">
        <is>
          <t>Q2</t>
        </is>
      </c>
      <c r="K51" t="inlineStr">
        <is>
          <t>Adjudicación Simplificada</t>
        </is>
      </c>
      <c r="L51" t="n">
        <v>833000</v>
      </c>
      <c r="M51" t="inlineStr">
        <is>
          <t>USD</t>
        </is>
      </c>
      <c r="N51" t="inlineStr">
        <is>
          <t>Desierto</t>
        </is>
      </c>
      <c r="Q51" t="n">
        <v>0</v>
      </c>
      <c r="R51" t="inlineStr">
        <is>
          <t>No</t>
        </is>
      </c>
      <c r="S51" t="inlineStr">
        <is>
          <t>Sí</t>
        </is>
      </c>
      <c r="T51" t="n">
        <v>1.5</v>
      </c>
    </row>
    <row r="52">
      <c r="A52" t="inlineStr">
        <is>
          <t>LP-0113-2021-SEACE</t>
        </is>
      </c>
      <c r="B52" t="inlineStr">
        <is>
          <t>Perú</t>
        </is>
      </c>
      <c r="C52" t="inlineStr">
        <is>
          <t>SEACE</t>
        </is>
      </c>
      <c r="D52" t="inlineStr">
        <is>
          <t>Cusco</t>
        </is>
      </c>
      <c r="E52" t="inlineStr">
        <is>
          <t>Gobierno Regional de Piura - Gerencia Regional de Salud</t>
        </is>
      </c>
      <c r="F52" t="inlineStr">
        <is>
          <t>Tomógrafo CT 256 cortes</t>
        </is>
      </c>
      <c r="G52" t="inlineStr">
        <is>
          <t>CT</t>
        </is>
      </c>
      <c r="H52" t="inlineStr">
        <is>
          <t>2021-05-15</t>
        </is>
      </c>
      <c r="I52" t="n">
        <v>2021</v>
      </c>
      <c r="J52" t="inlineStr">
        <is>
          <t>Q2</t>
        </is>
      </c>
      <c r="K52" t="inlineStr">
        <is>
          <t>Licitación Pública</t>
        </is>
      </c>
      <c r="L52" t="n">
        <v>860000</v>
      </c>
      <c r="M52" t="inlineStr">
        <is>
          <t>USD</t>
        </is>
      </c>
      <c r="N52" t="inlineStr">
        <is>
          <t>Adjudicado</t>
        </is>
      </c>
      <c r="O52" t="inlineStr">
        <is>
          <t>Philips Healthcare</t>
        </is>
      </c>
      <c r="P52" t="inlineStr">
        <is>
          <t>IQon Spectral CT</t>
        </is>
      </c>
      <c r="Q52" t="n">
        <v>3</v>
      </c>
      <c r="R52" t="inlineStr">
        <is>
          <t>No</t>
        </is>
      </c>
      <c r="S52" t="inlineStr">
        <is>
          <t>No</t>
        </is>
      </c>
      <c r="U52" t="n">
        <v>256</v>
      </c>
    </row>
    <row r="53">
      <c r="A53" t="inlineStr">
        <is>
          <t>LP-0098-2021-SEACE</t>
        </is>
      </c>
      <c r="B53" t="inlineStr">
        <is>
          <t>Perú</t>
        </is>
      </c>
      <c r="C53" t="inlineStr">
        <is>
          <t>SEACE</t>
        </is>
      </c>
      <c r="D53" t="inlineStr">
        <is>
          <t>La Libertad</t>
        </is>
      </c>
      <c r="E53" t="inlineStr">
        <is>
          <t>Hospital Nacional Cayetano Heredia (MINSA)</t>
        </is>
      </c>
      <c r="F53" t="inlineStr">
        <is>
          <t>Tomógrafo CT 128 cortes</t>
        </is>
      </c>
      <c r="G53" t="inlineStr">
        <is>
          <t>CT</t>
        </is>
      </c>
      <c r="H53" t="inlineStr">
        <is>
          <t>2021-05-21</t>
        </is>
      </c>
      <c r="I53" t="n">
        <v>2021</v>
      </c>
      <c r="J53" t="inlineStr">
        <is>
          <t>Q2</t>
        </is>
      </c>
      <c r="K53" t="inlineStr">
        <is>
          <t>Concurso Público</t>
        </is>
      </c>
      <c r="L53" t="n">
        <v>511000</v>
      </c>
      <c r="M53" t="inlineStr">
        <is>
          <t>USD</t>
        </is>
      </c>
      <c r="N53" t="inlineStr">
        <is>
          <t>Adjudicado</t>
        </is>
      </c>
      <c r="O53" t="inlineStr">
        <is>
          <t>Siemens Healthineers</t>
        </is>
      </c>
      <c r="P53" t="inlineStr">
        <is>
          <t>SOMATOM go.Top</t>
        </is>
      </c>
      <c r="Q53" t="n">
        <v>1</v>
      </c>
      <c r="R53" t="inlineStr">
        <is>
          <t>No</t>
        </is>
      </c>
      <c r="S53" t="inlineStr">
        <is>
          <t>Sí</t>
        </is>
      </c>
      <c r="U53" t="n">
        <v>128</v>
      </c>
    </row>
    <row r="54">
      <c r="A54" t="inlineStr">
        <is>
          <t>LP-0039-2021-SEACE</t>
        </is>
      </c>
      <c r="B54" t="inlineStr">
        <is>
          <t>Perú</t>
        </is>
      </c>
      <c r="C54" t="inlineStr">
        <is>
          <t>SEACE</t>
        </is>
      </c>
      <c r="D54" t="inlineStr">
        <is>
          <t>La Libertad</t>
        </is>
      </c>
      <c r="E54" t="inlineStr">
        <is>
          <t>Hospital Nacional Dos de Mayo (MINSA)</t>
        </is>
      </c>
      <c r="F54" t="inlineStr">
        <is>
          <t>Tomógrafo CT 64 cortes</t>
        </is>
      </c>
      <c r="G54" t="inlineStr">
        <is>
          <t>CT</t>
        </is>
      </c>
      <c r="H54" t="inlineStr">
        <is>
          <t>2021-05-25</t>
        </is>
      </c>
      <c r="I54" t="n">
        <v>2021</v>
      </c>
      <c r="J54" t="inlineStr">
        <is>
          <t>Q2</t>
        </is>
      </c>
      <c r="K54" t="inlineStr">
        <is>
          <t>Subasta Inversa Electrónica</t>
        </is>
      </c>
      <c r="L54" t="n">
        <v>368000</v>
      </c>
      <c r="M54" t="inlineStr">
        <is>
          <t>USD</t>
        </is>
      </c>
      <c r="N54" t="inlineStr">
        <is>
          <t>Adjudicado</t>
        </is>
      </c>
      <c r="O54" t="inlineStr">
        <is>
          <t>Philips Healthcare</t>
        </is>
      </c>
      <c r="P54" t="inlineStr">
        <is>
          <t>Incisive CT</t>
        </is>
      </c>
      <c r="Q54" t="n">
        <v>3</v>
      </c>
      <c r="R54" t="inlineStr">
        <is>
          <t>Sí</t>
        </is>
      </c>
      <c r="S54" t="inlineStr">
        <is>
          <t>No</t>
        </is>
      </c>
      <c r="U54" t="n">
        <v>64</v>
      </c>
    </row>
    <row r="55">
      <c r="A55" t="inlineStr">
        <is>
          <t>LP-0104-2021-SEACE</t>
        </is>
      </c>
      <c r="B55" t="inlineStr">
        <is>
          <t>Perú</t>
        </is>
      </c>
      <c r="C55" t="inlineStr">
        <is>
          <t>SEACE</t>
        </is>
      </c>
      <c r="D55" t="inlineStr">
        <is>
          <t>Arequipa</t>
        </is>
      </c>
      <c r="E55" t="inlineStr">
        <is>
          <t>Hospital de Alta Complejidad Virgen de la Puerta (EsSalud La Libertad)</t>
        </is>
      </c>
      <c r="F55" t="inlineStr">
        <is>
          <t>Resonancia Magnética 1.5T</t>
        </is>
      </c>
      <c r="G55" t="inlineStr">
        <is>
          <t>MR</t>
        </is>
      </c>
      <c r="H55" t="inlineStr">
        <is>
          <t>2021-05-30</t>
        </is>
      </c>
      <c r="I55" t="n">
        <v>2021</v>
      </c>
      <c r="J55" t="inlineStr">
        <is>
          <t>Q2</t>
        </is>
      </c>
      <c r="K55" t="inlineStr">
        <is>
          <t>Adjudicación Simplificada</t>
        </is>
      </c>
      <c r="L55" t="n">
        <v>900000</v>
      </c>
      <c r="M55" t="inlineStr">
        <is>
          <t>USD</t>
        </is>
      </c>
      <c r="N55" t="inlineStr">
        <is>
          <t>Adjudicado</t>
        </is>
      </c>
      <c r="O55" t="inlineStr">
        <is>
          <t>Philips Healthcare</t>
        </is>
      </c>
      <c r="P55" t="inlineStr">
        <is>
          <t>Ingenia 1.5T</t>
        </is>
      </c>
      <c r="Q55" t="n">
        <v>5</v>
      </c>
      <c r="R55" t="inlineStr">
        <is>
          <t>Sí</t>
        </is>
      </c>
      <c r="S55" t="inlineStr">
        <is>
          <t>Sí</t>
        </is>
      </c>
      <c r="T55" t="n">
        <v>1.5</v>
      </c>
    </row>
    <row r="56">
      <c r="A56" t="inlineStr">
        <is>
          <t>LP-0018-2021-SEACE</t>
        </is>
      </c>
      <c r="B56" t="inlineStr">
        <is>
          <t>Perú</t>
        </is>
      </c>
      <c r="C56" t="inlineStr">
        <is>
          <t>SEACE</t>
        </is>
      </c>
      <c r="D56" t="inlineStr">
        <is>
          <t>Ica</t>
        </is>
      </c>
      <c r="E56" t="inlineStr">
        <is>
          <t>Hospital de la Solidaridad (SISOL)</t>
        </is>
      </c>
      <c r="F56" t="inlineStr">
        <is>
          <t>Tomógrafo CT 64 cortes</t>
        </is>
      </c>
      <c r="G56" t="inlineStr">
        <is>
          <t>CT</t>
        </is>
      </c>
      <c r="H56" t="inlineStr">
        <is>
          <t>2021-06-25</t>
        </is>
      </c>
      <c r="I56" t="n">
        <v>2021</v>
      </c>
      <c r="J56" t="inlineStr">
        <is>
          <t>Q2</t>
        </is>
      </c>
      <c r="K56" t="inlineStr">
        <is>
          <t>Adjudicación Simplificada</t>
        </is>
      </c>
      <c r="L56" t="n">
        <v>294000</v>
      </c>
      <c r="M56" t="inlineStr">
        <is>
          <t>USD</t>
        </is>
      </c>
      <c r="N56" t="inlineStr">
        <is>
          <t>Adjudicado</t>
        </is>
      </c>
      <c r="O56" t="inlineStr">
        <is>
          <t>Canon Medical</t>
        </is>
      </c>
      <c r="P56" t="inlineStr">
        <is>
          <t>Aquilion Lightning</t>
        </is>
      </c>
      <c r="Q56" t="n">
        <v>4</v>
      </c>
      <c r="R56" t="inlineStr">
        <is>
          <t>Sí</t>
        </is>
      </c>
      <c r="S56" t="inlineStr">
        <is>
          <t>Sí</t>
        </is>
      </c>
      <c r="U56" t="n">
        <v>64</v>
      </c>
    </row>
    <row r="57">
      <c r="A57" t="inlineStr">
        <is>
          <t>LP-0097-2021-SEACE</t>
        </is>
      </c>
      <c r="B57" t="inlineStr">
        <is>
          <t>Perú</t>
        </is>
      </c>
      <c r="C57" t="inlineStr">
        <is>
          <t>SEACE</t>
        </is>
      </c>
      <c r="D57" t="inlineStr">
        <is>
          <t>Arequipa</t>
        </is>
      </c>
      <c r="E57" t="inlineStr">
        <is>
          <t>Hospital Regional de Lambayeque</t>
        </is>
      </c>
      <c r="F57" t="inlineStr">
        <is>
          <t>Resonancia Magnética 1.5T</t>
        </is>
      </c>
      <c r="G57" t="inlineStr">
        <is>
          <t>MR</t>
        </is>
      </c>
      <c r="H57" t="inlineStr">
        <is>
          <t>2021-07-30</t>
        </is>
      </c>
      <c r="I57" t="n">
        <v>2021</v>
      </c>
      <c r="J57" t="inlineStr">
        <is>
          <t>Q3</t>
        </is>
      </c>
      <c r="K57" t="inlineStr">
        <is>
          <t>Subasta Inversa Electrónica</t>
        </is>
      </c>
      <c r="L57" t="n">
        <v>1039000</v>
      </c>
      <c r="M57" t="inlineStr">
        <is>
          <t>USD</t>
        </is>
      </c>
      <c r="N57" t="inlineStr">
        <is>
          <t>Adjudicado</t>
        </is>
      </c>
      <c r="O57" t="inlineStr">
        <is>
          <t>Canon Medical</t>
        </is>
      </c>
      <c r="P57" t="inlineStr">
        <is>
          <t>Vantage Orian</t>
        </is>
      </c>
      <c r="Q57" t="n">
        <v>5</v>
      </c>
      <c r="R57" t="inlineStr">
        <is>
          <t>Sí</t>
        </is>
      </c>
      <c r="S57" t="inlineStr">
        <is>
          <t>Sí</t>
        </is>
      </c>
      <c r="T57" t="n">
        <v>1.5</v>
      </c>
    </row>
    <row r="58">
      <c r="A58" t="inlineStr">
        <is>
          <t>SIE-0026-2021-SERCOP</t>
        </is>
      </c>
      <c r="B58" t="inlineStr">
        <is>
          <t>Ecuador</t>
        </is>
      </c>
      <c r="C58" t="inlineStr">
        <is>
          <t>SERCOP</t>
        </is>
      </c>
      <c r="D58" t="inlineStr">
        <is>
          <t>Pichincha</t>
        </is>
      </c>
      <c r="E58" t="inlineStr">
        <is>
          <t>Hospital de Especialidades Baca Ortiz</t>
        </is>
      </c>
      <c r="F58" t="inlineStr">
        <is>
          <t>Tomógrafo CT 256 cortes</t>
        </is>
      </c>
      <c r="G58" t="inlineStr">
        <is>
          <t>CT</t>
        </is>
      </c>
      <c r="H58" t="inlineStr">
        <is>
          <t>2021-08-11</t>
        </is>
      </c>
      <c r="I58" t="n">
        <v>2021</v>
      </c>
      <c r="J58" t="inlineStr">
        <is>
          <t>Q3</t>
        </is>
      </c>
      <c r="K58" t="inlineStr">
        <is>
          <t>Menor Cuantía</t>
        </is>
      </c>
      <c r="L58" t="n">
        <v>780000</v>
      </c>
      <c r="M58" t="inlineStr">
        <is>
          <t>USD</t>
        </is>
      </c>
      <c r="N58" t="inlineStr">
        <is>
          <t>Adjudicado</t>
        </is>
      </c>
      <c r="O58" t="inlineStr">
        <is>
          <t>Philips Healthcare</t>
        </is>
      </c>
      <c r="P58" t="inlineStr">
        <is>
          <t>IQon Spectral CT</t>
        </is>
      </c>
      <c r="Q58" t="n">
        <v>2</v>
      </c>
      <c r="R58" t="inlineStr">
        <is>
          <t>No</t>
        </is>
      </c>
      <c r="S58" t="inlineStr">
        <is>
          <t>No</t>
        </is>
      </c>
      <c r="U58" t="n">
        <v>256</v>
      </c>
    </row>
    <row r="59">
      <c r="A59" t="inlineStr">
        <is>
          <t>SIE-0021-2021-SERCOP</t>
        </is>
      </c>
      <c r="B59" t="inlineStr">
        <is>
          <t>Ecuador</t>
        </is>
      </c>
      <c r="C59" t="inlineStr">
        <is>
          <t>SERCOP</t>
        </is>
      </c>
      <c r="D59" t="inlineStr">
        <is>
          <t>Pichincha</t>
        </is>
      </c>
      <c r="E59" t="inlineStr">
        <is>
          <t>Hospital Metropolitano (privado)</t>
        </is>
      </c>
      <c r="F59" t="inlineStr">
        <is>
          <t>Tomógrafo CT 64 cortes</t>
        </is>
      </c>
      <c r="G59" t="inlineStr">
        <is>
          <t>CT</t>
        </is>
      </c>
      <c r="H59" t="inlineStr">
        <is>
          <t>2021-08-26</t>
        </is>
      </c>
      <c r="I59" t="n">
        <v>2021</v>
      </c>
      <c r="J59" t="inlineStr">
        <is>
          <t>Q3</t>
        </is>
      </c>
      <c r="K59" t="inlineStr">
        <is>
          <t>Subasta Inversa Electrónica</t>
        </is>
      </c>
      <c r="L59" t="n">
        <v>387000</v>
      </c>
      <c r="M59" t="inlineStr">
        <is>
          <t>USD</t>
        </is>
      </c>
      <c r="N59" t="inlineStr">
        <is>
          <t>Adjudicado</t>
        </is>
      </c>
      <c r="O59" t="inlineStr">
        <is>
          <t>Canon Medical</t>
        </is>
      </c>
      <c r="P59" t="inlineStr">
        <is>
          <t>Aquilion Lightning</t>
        </is>
      </c>
      <c r="Q59" t="n">
        <v>3</v>
      </c>
      <c r="R59" t="inlineStr">
        <is>
          <t>Sí</t>
        </is>
      </c>
      <c r="S59" t="inlineStr">
        <is>
          <t>No</t>
        </is>
      </c>
      <c r="U59" t="n">
        <v>64</v>
      </c>
    </row>
    <row r="60">
      <c r="A60" t="inlineStr">
        <is>
          <t>SIE-0024-2021-SERCOP</t>
        </is>
      </c>
      <c r="B60" t="inlineStr">
        <is>
          <t>Ecuador</t>
        </is>
      </c>
      <c r="C60" t="inlineStr">
        <is>
          <t>SERCOP</t>
        </is>
      </c>
      <c r="D60" t="inlineStr">
        <is>
          <t>Manabí</t>
        </is>
      </c>
      <c r="E60" t="inlineStr">
        <is>
          <t>Hospital de Especialidades Baca Ortiz</t>
        </is>
      </c>
      <c r="F60" t="inlineStr">
        <is>
          <t>Resonancia Magnética 1.5T</t>
        </is>
      </c>
      <c r="G60" t="inlineStr">
        <is>
          <t>MR</t>
        </is>
      </c>
      <c r="H60" t="inlineStr">
        <is>
          <t>2021-09-04</t>
        </is>
      </c>
      <c r="I60" t="n">
        <v>2021</v>
      </c>
      <c r="J60" t="inlineStr">
        <is>
          <t>Q3</t>
        </is>
      </c>
      <c r="K60" t="inlineStr">
        <is>
          <t>Subasta Inversa Electrónica</t>
        </is>
      </c>
      <c r="L60" t="n">
        <v>940000</v>
      </c>
      <c r="M60" t="inlineStr">
        <is>
          <t>USD</t>
        </is>
      </c>
      <c r="N60" t="inlineStr">
        <is>
          <t>Adjudicado</t>
        </is>
      </c>
      <c r="O60" t="inlineStr">
        <is>
          <t>Siemens Healthineers</t>
        </is>
      </c>
      <c r="P60" t="inlineStr">
        <is>
          <t>MAGNETOM Sola</t>
        </is>
      </c>
      <c r="Q60" t="n">
        <v>1</v>
      </c>
      <c r="R60" t="inlineStr">
        <is>
          <t>Sí</t>
        </is>
      </c>
      <c r="S60" t="inlineStr">
        <is>
          <t>Sí</t>
        </is>
      </c>
      <c r="T60" t="n">
        <v>1.5</v>
      </c>
    </row>
    <row r="61">
      <c r="A61" t="inlineStr">
        <is>
          <t>SIE-0013-2021-SERCOP</t>
        </is>
      </c>
      <c r="B61" t="inlineStr">
        <is>
          <t>Ecuador</t>
        </is>
      </c>
      <c r="C61" t="inlineStr">
        <is>
          <t>SERCOP</t>
        </is>
      </c>
      <c r="D61" t="inlineStr">
        <is>
          <t>Azuay</t>
        </is>
      </c>
      <c r="E61" t="inlineStr">
        <is>
          <t>Hospital del IESS Ceibos</t>
        </is>
      </c>
      <c r="F61" t="inlineStr">
        <is>
          <t>Tomógrafo CT 64 cortes</t>
        </is>
      </c>
      <c r="G61" t="inlineStr">
        <is>
          <t>CT</t>
        </is>
      </c>
      <c r="H61" t="inlineStr">
        <is>
          <t>2021-09-07</t>
        </is>
      </c>
      <c r="I61" t="n">
        <v>2021</v>
      </c>
      <c r="J61" t="inlineStr">
        <is>
          <t>Q3</t>
        </is>
      </c>
      <c r="K61" t="inlineStr">
        <is>
          <t>Menor Cuantía</t>
        </is>
      </c>
      <c r="L61" t="n">
        <v>376000</v>
      </c>
      <c r="M61" t="inlineStr">
        <is>
          <t>USD</t>
        </is>
      </c>
      <c r="N61" t="inlineStr">
        <is>
          <t>Adjudicado</t>
        </is>
      </c>
      <c r="O61" t="inlineStr">
        <is>
          <t>Philips Healthcare</t>
        </is>
      </c>
      <c r="P61" t="inlineStr">
        <is>
          <t>Incisive CT</t>
        </is>
      </c>
      <c r="Q61" t="n">
        <v>3</v>
      </c>
      <c r="R61" t="inlineStr">
        <is>
          <t>No</t>
        </is>
      </c>
      <c r="S61" t="inlineStr">
        <is>
          <t>No</t>
        </is>
      </c>
      <c r="U61" t="n">
        <v>64</v>
      </c>
    </row>
    <row r="62">
      <c r="A62" t="inlineStr">
        <is>
          <t>LP-0080-2021-SEACE</t>
        </is>
      </c>
      <c r="B62" t="inlineStr">
        <is>
          <t>Perú</t>
        </is>
      </c>
      <c r="C62" t="inlineStr">
        <is>
          <t>SEACE</t>
        </is>
      </c>
      <c r="D62" t="inlineStr">
        <is>
          <t>La Libertad</t>
        </is>
      </c>
      <c r="E62" t="inlineStr">
        <is>
          <t>Hospital Regional Honorio Delgado (Arequipa)</t>
        </is>
      </c>
      <c r="F62" t="inlineStr">
        <is>
          <t>Tomógrafo CT 128 cortes</t>
        </is>
      </c>
      <c r="G62" t="inlineStr">
        <is>
          <t>CT</t>
        </is>
      </c>
      <c r="H62" t="inlineStr">
        <is>
          <t>2021-09-22</t>
        </is>
      </c>
      <c r="I62" t="n">
        <v>2021</v>
      </c>
      <c r="J62" t="inlineStr">
        <is>
          <t>Q3</t>
        </is>
      </c>
      <c r="K62" t="inlineStr">
        <is>
          <t>Concurso Público</t>
        </is>
      </c>
      <c r="L62" t="n">
        <v>599000</v>
      </c>
      <c r="M62" t="inlineStr">
        <is>
          <t>USD</t>
        </is>
      </c>
      <c r="N62" t="inlineStr">
        <is>
          <t>Adjudicado</t>
        </is>
      </c>
      <c r="O62" t="inlineStr">
        <is>
          <t>Siemens Healthineers</t>
        </is>
      </c>
      <c r="P62" t="inlineStr">
        <is>
          <t>SOMATOM go.Top</t>
        </is>
      </c>
      <c r="Q62" t="n">
        <v>4</v>
      </c>
      <c r="R62" t="inlineStr">
        <is>
          <t>Sí</t>
        </is>
      </c>
      <c r="S62" t="inlineStr">
        <is>
          <t>No</t>
        </is>
      </c>
      <c r="U62" t="n">
        <v>128</v>
      </c>
    </row>
    <row r="63">
      <c r="A63" t="inlineStr">
        <is>
          <t>LP-0033-2021-SEACE</t>
        </is>
      </c>
      <c r="B63" t="inlineStr">
        <is>
          <t>Perú</t>
        </is>
      </c>
      <c r="C63" t="inlineStr">
        <is>
          <t>SEACE</t>
        </is>
      </c>
      <c r="D63" t="inlineStr">
        <is>
          <t>Arequipa</t>
        </is>
      </c>
      <c r="E63" t="inlineStr">
        <is>
          <t>Hospital Nacional Alberto Sabogal Sologuren (EsSalud)</t>
        </is>
      </c>
      <c r="F63" t="inlineStr">
        <is>
          <t>Tomógrafo CT 64 cortes</t>
        </is>
      </c>
      <c r="G63" t="inlineStr">
        <is>
          <t>CT</t>
        </is>
      </c>
      <c r="H63" t="inlineStr">
        <is>
          <t>2021-09-25</t>
        </is>
      </c>
      <c r="I63" t="n">
        <v>2021</v>
      </c>
      <c r="J63" t="inlineStr">
        <is>
          <t>Q3</t>
        </is>
      </c>
      <c r="K63" t="inlineStr">
        <is>
          <t>Adjudicación Simplificada</t>
        </is>
      </c>
      <c r="L63" t="n">
        <v>396000</v>
      </c>
      <c r="M63" t="inlineStr">
        <is>
          <t>USD</t>
        </is>
      </c>
      <c r="N63" t="inlineStr">
        <is>
          <t>Desierto</t>
        </is>
      </c>
      <c r="Q63" t="n">
        <v>0</v>
      </c>
      <c r="R63" t="inlineStr">
        <is>
          <t>Sí</t>
        </is>
      </c>
      <c r="S63" t="inlineStr">
        <is>
          <t>Sí</t>
        </is>
      </c>
      <c r="U63" t="n">
        <v>64</v>
      </c>
    </row>
    <row r="64">
      <c r="A64" t="inlineStr">
        <is>
          <t>LP-0091-2021-SEACE</t>
        </is>
      </c>
      <c r="B64" t="inlineStr">
        <is>
          <t>Perú</t>
        </is>
      </c>
      <c r="C64" t="inlineStr">
        <is>
          <t>SEACE</t>
        </is>
      </c>
      <c r="D64" t="inlineStr">
        <is>
          <t>Piura</t>
        </is>
      </c>
      <c r="E64" t="inlineStr">
        <is>
          <t>Hospital Nacional Dos de Mayo (MINSA)</t>
        </is>
      </c>
      <c r="F64" t="inlineStr">
        <is>
          <t>Resonancia Magnética 1.5T</t>
        </is>
      </c>
      <c r="G64" t="inlineStr">
        <is>
          <t>MR</t>
        </is>
      </c>
      <c r="H64" t="inlineStr">
        <is>
          <t>2021-10-09</t>
        </is>
      </c>
      <c r="I64" t="n">
        <v>2021</v>
      </c>
      <c r="J64" t="inlineStr">
        <is>
          <t>Q4</t>
        </is>
      </c>
      <c r="K64" t="inlineStr">
        <is>
          <t>Subasta Inversa Electrónica</t>
        </is>
      </c>
      <c r="L64" t="n">
        <v>1020000</v>
      </c>
      <c r="M64" t="inlineStr">
        <is>
          <t>USD</t>
        </is>
      </c>
      <c r="N64" t="inlineStr">
        <is>
          <t>Adjudicado</t>
        </is>
      </c>
      <c r="O64" t="inlineStr">
        <is>
          <t>Canon Medical</t>
        </is>
      </c>
      <c r="P64" t="inlineStr">
        <is>
          <t>Vantage Orian</t>
        </is>
      </c>
      <c r="Q64" t="n">
        <v>3</v>
      </c>
      <c r="R64" t="inlineStr">
        <is>
          <t>Sí</t>
        </is>
      </c>
      <c r="S64" t="inlineStr">
        <is>
          <t>No</t>
        </is>
      </c>
      <c r="T64" t="n">
        <v>1.5</v>
      </c>
    </row>
    <row r="65">
      <c r="A65" t="inlineStr">
        <is>
          <t>SIE-0052-2021-SERCOP</t>
        </is>
      </c>
      <c r="B65" t="inlineStr">
        <is>
          <t>Ecuador</t>
        </is>
      </c>
      <c r="C65" t="inlineStr">
        <is>
          <t>SERCOP</t>
        </is>
      </c>
      <c r="D65" t="inlineStr">
        <is>
          <t>Azuay</t>
        </is>
      </c>
      <c r="E65" t="inlineStr">
        <is>
          <t>Hospital General IESS Riobamba</t>
        </is>
      </c>
      <c r="F65" t="inlineStr">
        <is>
          <t>Tomógrafo CT 256 cortes</t>
        </is>
      </c>
      <c r="G65" t="inlineStr">
        <is>
          <t>CT</t>
        </is>
      </c>
      <c r="H65" t="inlineStr">
        <is>
          <t>2021-10-14</t>
        </is>
      </c>
      <c r="I65" t="n">
        <v>2021</v>
      </c>
      <c r="J65" t="inlineStr">
        <is>
          <t>Q4</t>
        </is>
      </c>
      <c r="K65" t="inlineStr">
        <is>
          <t>Subasta Inversa Electrónica</t>
        </is>
      </c>
      <c r="L65" t="n">
        <v>798000</v>
      </c>
      <c r="M65" t="inlineStr">
        <is>
          <t>USD</t>
        </is>
      </c>
      <c r="N65" t="inlineStr">
        <is>
          <t>Adjudicado</t>
        </is>
      </c>
      <c r="O65" t="inlineStr">
        <is>
          <t>Philips Healthcare</t>
        </is>
      </c>
      <c r="P65" t="inlineStr">
        <is>
          <t>IQon Spectral CT</t>
        </is>
      </c>
      <c r="Q65" t="n">
        <v>3</v>
      </c>
      <c r="R65" t="inlineStr">
        <is>
          <t>Sí</t>
        </is>
      </c>
      <c r="S65" t="inlineStr">
        <is>
          <t>Sí</t>
        </is>
      </c>
      <c r="U65" t="n">
        <v>256</v>
      </c>
    </row>
    <row r="66">
      <c r="A66" t="inlineStr">
        <is>
          <t>SIE-0041-2021-SERCOP</t>
        </is>
      </c>
      <c r="B66" t="inlineStr">
        <is>
          <t>Ecuador</t>
        </is>
      </c>
      <c r="C66" t="inlineStr">
        <is>
          <t>SERCOP</t>
        </is>
      </c>
      <c r="D66" t="inlineStr">
        <is>
          <t>Azuay</t>
        </is>
      </c>
      <c r="E66" t="inlineStr">
        <is>
          <t>Hospital Metropolitano (privado)</t>
        </is>
      </c>
      <c r="F66" t="inlineStr">
        <is>
          <t>Tomógrafo CT 64 cortes</t>
        </is>
      </c>
      <c r="G66" t="inlineStr">
        <is>
          <t>CT</t>
        </is>
      </c>
      <c r="H66" t="inlineStr">
        <is>
          <t>2021-12-14</t>
        </is>
      </c>
      <c r="I66" t="n">
        <v>2021</v>
      </c>
      <c r="J66" t="inlineStr">
        <is>
          <t>Q4</t>
        </is>
      </c>
      <c r="K66" t="inlineStr">
        <is>
          <t>Licitación</t>
        </is>
      </c>
      <c r="L66" t="n">
        <v>370000</v>
      </c>
      <c r="M66" t="inlineStr">
        <is>
          <t>USD</t>
        </is>
      </c>
      <c r="N66" t="inlineStr">
        <is>
          <t>Adjudicado</t>
        </is>
      </c>
      <c r="O66" t="inlineStr">
        <is>
          <t>GE Healthcare</t>
        </is>
      </c>
      <c r="P66" t="inlineStr">
        <is>
          <t>Revolution EVO</t>
        </is>
      </c>
      <c r="Q66" t="n">
        <v>2</v>
      </c>
      <c r="R66" t="inlineStr">
        <is>
          <t>Sí</t>
        </is>
      </c>
      <c r="S66" t="inlineStr">
        <is>
          <t>Sí</t>
        </is>
      </c>
      <c r="U66" t="n">
        <v>64</v>
      </c>
    </row>
    <row r="67">
      <c r="A67" t="inlineStr">
        <is>
          <t>SIE-0033-2022-SERCOP</t>
        </is>
      </c>
      <c r="B67" t="inlineStr">
        <is>
          <t>Ecuador</t>
        </is>
      </c>
      <c r="C67" t="inlineStr">
        <is>
          <t>SERCOP</t>
        </is>
      </c>
      <c r="D67" t="inlineStr">
        <is>
          <t>Guayas</t>
        </is>
      </c>
      <c r="E67" t="inlineStr">
        <is>
          <t>Hospital Carlos Andrade Marín (IESS)</t>
        </is>
      </c>
      <c r="F67" t="inlineStr">
        <is>
          <t>Resonancia Magnética 1.5T</t>
        </is>
      </c>
      <c r="G67" t="inlineStr">
        <is>
          <t>MR</t>
        </is>
      </c>
      <c r="H67" t="inlineStr">
        <is>
          <t>2022-01-09</t>
        </is>
      </c>
      <c r="I67" t="n">
        <v>2022</v>
      </c>
      <c r="J67" t="inlineStr">
        <is>
          <t>Q1</t>
        </is>
      </c>
      <c r="K67" t="inlineStr">
        <is>
          <t>Licitación</t>
        </is>
      </c>
      <c r="L67" t="n">
        <v>774000</v>
      </c>
      <c r="M67" t="inlineStr">
        <is>
          <t>USD</t>
        </is>
      </c>
      <c r="N67" t="inlineStr">
        <is>
          <t>Adjudicado</t>
        </is>
      </c>
      <c r="O67" t="inlineStr">
        <is>
          <t>Canon Medical</t>
        </is>
      </c>
      <c r="P67" t="inlineStr">
        <is>
          <t>Vantage Orian</t>
        </is>
      </c>
      <c r="Q67" t="n">
        <v>3</v>
      </c>
      <c r="R67" t="inlineStr">
        <is>
          <t>No</t>
        </is>
      </c>
      <c r="S67" t="inlineStr">
        <is>
          <t>No</t>
        </is>
      </c>
      <c r="T67" t="n">
        <v>1.5</v>
      </c>
    </row>
    <row r="68">
      <c r="A68" t="inlineStr">
        <is>
          <t>SIE-0017-2022-SERCOP</t>
        </is>
      </c>
      <c r="B68" t="inlineStr">
        <is>
          <t>Ecuador</t>
        </is>
      </c>
      <c r="C68" t="inlineStr">
        <is>
          <t>SERCOP</t>
        </is>
      </c>
      <c r="D68" t="inlineStr">
        <is>
          <t>Tungurahua</t>
        </is>
      </c>
      <c r="E68" t="inlineStr">
        <is>
          <t>Hospital de Especialidades Baca Ortiz</t>
        </is>
      </c>
      <c r="F68" t="inlineStr">
        <is>
          <t>Tomógrafo CT 256 cortes</t>
        </is>
      </c>
      <c r="G68" t="inlineStr">
        <is>
          <t>CT</t>
        </is>
      </c>
      <c r="H68" t="inlineStr">
        <is>
          <t>2022-01-10</t>
        </is>
      </c>
      <c r="I68" t="n">
        <v>2022</v>
      </c>
      <c r="J68" t="inlineStr">
        <is>
          <t>Q1</t>
        </is>
      </c>
      <c r="K68" t="inlineStr">
        <is>
          <t>Cotización</t>
        </is>
      </c>
      <c r="L68" t="n">
        <v>719000</v>
      </c>
      <c r="M68" t="inlineStr">
        <is>
          <t>USD</t>
        </is>
      </c>
      <c r="N68" t="inlineStr">
        <is>
          <t>Adjudicado</t>
        </is>
      </c>
      <c r="O68" t="inlineStr">
        <is>
          <t>GE Healthcare</t>
        </is>
      </c>
      <c r="P68" t="inlineStr">
        <is>
          <t>Revolution HD</t>
        </is>
      </c>
      <c r="Q68" t="n">
        <v>4</v>
      </c>
      <c r="R68" t="inlineStr">
        <is>
          <t>Sí</t>
        </is>
      </c>
      <c r="S68" t="inlineStr">
        <is>
          <t>No</t>
        </is>
      </c>
      <c r="U68" t="n">
        <v>256</v>
      </c>
    </row>
    <row r="69">
      <c r="A69" t="inlineStr">
        <is>
          <t>SIE-0044-2022-SERCOP</t>
        </is>
      </c>
      <c r="B69" t="inlineStr">
        <is>
          <t>Ecuador</t>
        </is>
      </c>
      <c r="C69" t="inlineStr">
        <is>
          <t>SERCOP</t>
        </is>
      </c>
      <c r="D69" t="inlineStr">
        <is>
          <t>Pichincha</t>
        </is>
      </c>
      <c r="E69" t="inlineStr">
        <is>
          <t>Hospital Teodoro Maldonado Carbo (IESS Guayaquil)</t>
        </is>
      </c>
      <c r="F69" t="inlineStr">
        <is>
          <t>Tomógrafo CT 256 cortes</t>
        </is>
      </c>
      <c r="G69" t="inlineStr">
        <is>
          <t>CT</t>
        </is>
      </c>
      <c r="H69" t="inlineStr">
        <is>
          <t>2022-01-15</t>
        </is>
      </c>
      <c r="I69" t="n">
        <v>2022</v>
      </c>
      <c r="J69" t="inlineStr">
        <is>
          <t>Q1</t>
        </is>
      </c>
      <c r="K69" t="inlineStr">
        <is>
          <t>Licitación</t>
        </is>
      </c>
      <c r="L69" t="n">
        <v>712000</v>
      </c>
      <c r="M69" t="inlineStr">
        <is>
          <t>USD</t>
        </is>
      </c>
      <c r="N69" t="inlineStr">
        <is>
          <t>Adjudicado</t>
        </is>
      </c>
      <c r="O69" t="inlineStr">
        <is>
          <t>GE Healthcare</t>
        </is>
      </c>
      <c r="P69" t="inlineStr">
        <is>
          <t>Revolution HD</t>
        </is>
      </c>
      <c r="Q69" t="n">
        <v>1</v>
      </c>
      <c r="R69" t="inlineStr">
        <is>
          <t>No</t>
        </is>
      </c>
      <c r="S69" t="inlineStr">
        <is>
          <t>Sí</t>
        </is>
      </c>
      <c r="U69" t="n">
        <v>256</v>
      </c>
    </row>
    <row r="70">
      <c r="A70" t="inlineStr">
        <is>
          <t>LP-0064-2022-SEACE</t>
        </is>
      </c>
      <c r="B70" t="inlineStr">
        <is>
          <t>Perú</t>
        </is>
      </c>
      <c r="C70" t="inlineStr">
        <is>
          <t>SEACE</t>
        </is>
      </c>
      <c r="D70" t="inlineStr">
        <is>
          <t>Lambayeque</t>
        </is>
      </c>
      <c r="E70" t="inlineStr">
        <is>
          <t>Hospital Regional Honorio Delgado (Arequipa)</t>
        </is>
      </c>
      <c r="F70" t="inlineStr">
        <is>
          <t>Tomógrafo CT 64 cortes</t>
        </is>
      </c>
      <c r="G70" t="inlineStr">
        <is>
          <t>CT</t>
        </is>
      </c>
      <c r="H70" t="inlineStr">
        <is>
          <t>2022-01-28</t>
        </is>
      </c>
      <c r="I70" t="n">
        <v>2022</v>
      </c>
      <c r="J70" t="inlineStr">
        <is>
          <t>Q1</t>
        </is>
      </c>
      <c r="K70" t="inlineStr">
        <is>
          <t>Concurso Público</t>
        </is>
      </c>
      <c r="L70" t="n">
        <v>384000</v>
      </c>
      <c r="M70" t="inlineStr">
        <is>
          <t>USD</t>
        </is>
      </c>
      <c r="N70" t="inlineStr">
        <is>
          <t>Adjudicado</t>
        </is>
      </c>
      <c r="O70" t="inlineStr">
        <is>
          <t>Siemens Healthineers</t>
        </is>
      </c>
      <c r="P70" t="inlineStr">
        <is>
          <t>SOMATOM go.Up</t>
        </is>
      </c>
      <c r="Q70" t="n">
        <v>1</v>
      </c>
      <c r="R70" t="inlineStr">
        <is>
          <t>Sí</t>
        </is>
      </c>
      <c r="S70" t="inlineStr">
        <is>
          <t>No</t>
        </is>
      </c>
      <c r="U70" t="n">
        <v>64</v>
      </c>
    </row>
    <row r="71">
      <c r="A71" t="inlineStr">
        <is>
          <t>LP-0020-2022-SEACE</t>
        </is>
      </c>
      <c r="B71" t="inlineStr">
        <is>
          <t>Perú</t>
        </is>
      </c>
      <c r="C71" t="inlineStr">
        <is>
          <t>SEACE</t>
        </is>
      </c>
      <c r="D71" t="inlineStr">
        <is>
          <t>Lima</t>
        </is>
      </c>
      <c r="E71" t="inlineStr">
        <is>
          <t>Hospital Nacional Alberto Sabogal Sologuren (EsSalud)</t>
        </is>
      </c>
      <c r="F71" t="inlineStr">
        <is>
          <t>Tomógrafo CT 64 cortes</t>
        </is>
      </c>
      <c r="G71" t="inlineStr">
        <is>
          <t>CT</t>
        </is>
      </c>
      <c r="H71" t="inlineStr">
        <is>
          <t>2022-02-18</t>
        </is>
      </c>
      <c r="I71" t="n">
        <v>2022</v>
      </c>
      <c r="J71" t="inlineStr">
        <is>
          <t>Q1</t>
        </is>
      </c>
      <c r="K71" t="inlineStr">
        <is>
          <t>Concurso Público</t>
        </is>
      </c>
      <c r="L71" t="n">
        <v>315000</v>
      </c>
      <c r="M71" t="inlineStr">
        <is>
          <t>USD</t>
        </is>
      </c>
      <c r="N71" t="inlineStr">
        <is>
          <t>Adjudicado</t>
        </is>
      </c>
      <c r="O71" t="inlineStr">
        <is>
          <t>Siemens Healthineers</t>
        </is>
      </c>
      <c r="P71" t="inlineStr">
        <is>
          <t>SOMATOM go.Up</t>
        </is>
      </c>
      <c r="Q71" t="n">
        <v>4</v>
      </c>
      <c r="R71" t="inlineStr">
        <is>
          <t>Sí</t>
        </is>
      </c>
      <c r="S71" t="inlineStr">
        <is>
          <t>Sí</t>
        </is>
      </c>
      <c r="U71" t="n">
        <v>64</v>
      </c>
    </row>
    <row r="72">
      <c r="A72" t="inlineStr">
        <is>
          <t>SIE-0031-2022-SERCOP</t>
        </is>
      </c>
      <c r="B72" t="inlineStr">
        <is>
          <t>Ecuador</t>
        </is>
      </c>
      <c r="C72" t="inlineStr">
        <is>
          <t>SERCOP</t>
        </is>
      </c>
      <c r="D72" t="inlineStr">
        <is>
          <t>Tungurahua</t>
        </is>
      </c>
      <c r="E72" t="inlineStr">
        <is>
          <t>Hospital de Especialidades Fuerzas Armadas N°1</t>
        </is>
      </c>
      <c r="F72" t="inlineStr">
        <is>
          <t>Tomógrafo CT 64 cortes</t>
        </is>
      </c>
      <c r="G72" t="inlineStr">
        <is>
          <t>CT</t>
        </is>
      </c>
      <c r="H72" t="inlineStr">
        <is>
          <t>2022-02-21</t>
        </is>
      </c>
      <c r="I72" t="n">
        <v>2022</v>
      </c>
      <c r="J72" t="inlineStr">
        <is>
          <t>Q1</t>
        </is>
      </c>
      <c r="K72" t="inlineStr">
        <is>
          <t>Menor Cuantía</t>
        </is>
      </c>
      <c r="L72" t="n">
        <v>385000</v>
      </c>
      <c r="M72" t="inlineStr">
        <is>
          <t>USD</t>
        </is>
      </c>
      <c r="N72" t="inlineStr">
        <is>
          <t>Adjudicado</t>
        </is>
      </c>
      <c r="O72" t="inlineStr">
        <is>
          <t>Siemens Healthineers</t>
        </is>
      </c>
      <c r="P72" t="inlineStr">
        <is>
          <t>SOMATOM go.Up</t>
        </is>
      </c>
      <c r="Q72" t="n">
        <v>3</v>
      </c>
      <c r="R72" t="inlineStr">
        <is>
          <t>Sí</t>
        </is>
      </c>
      <c r="S72" t="inlineStr">
        <is>
          <t>No</t>
        </is>
      </c>
      <c r="U72" t="n">
        <v>64</v>
      </c>
    </row>
    <row r="73">
      <c r="A73" t="inlineStr">
        <is>
          <t>LP-0061-2022-SEACE</t>
        </is>
      </c>
      <c r="B73" t="inlineStr">
        <is>
          <t>Perú</t>
        </is>
      </c>
      <c r="C73" t="inlineStr">
        <is>
          <t>SEACE</t>
        </is>
      </c>
      <c r="D73" t="inlineStr">
        <is>
          <t>Cusco</t>
        </is>
      </c>
      <c r="E73" t="inlineStr">
        <is>
          <t>Clínica Internacional S.A.</t>
        </is>
      </c>
      <c r="F73" t="inlineStr">
        <is>
          <t>Tomógrafo CT 256 cortes</t>
        </is>
      </c>
      <c r="G73" t="inlineStr">
        <is>
          <t>CT</t>
        </is>
      </c>
      <c r="H73" t="inlineStr">
        <is>
          <t>2022-02-21</t>
        </is>
      </c>
      <c r="I73" t="n">
        <v>2022</v>
      </c>
      <c r="J73" t="inlineStr">
        <is>
          <t>Q1</t>
        </is>
      </c>
      <c r="K73" t="inlineStr">
        <is>
          <t>Adjudicación Simplificada</t>
        </is>
      </c>
      <c r="L73" t="n">
        <v>829000</v>
      </c>
      <c r="M73" t="inlineStr">
        <is>
          <t>USD</t>
        </is>
      </c>
      <c r="N73" t="inlineStr">
        <is>
          <t>Adjudicado</t>
        </is>
      </c>
      <c r="O73" t="inlineStr">
        <is>
          <t>Siemens Healthineers</t>
        </is>
      </c>
      <c r="P73" t="inlineStr">
        <is>
          <t>SOMATOM go.Now</t>
        </is>
      </c>
      <c r="Q73" t="n">
        <v>4</v>
      </c>
      <c r="R73" t="inlineStr">
        <is>
          <t>No</t>
        </is>
      </c>
      <c r="S73" t="inlineStr">
        <is>
          <t>No</t>
        </is>
      </c>
      <c r="U73" t="n">
        <v>256</v>
      </c>
    </row>
    <row r="74">
      <c r="A74" t="inlineStr">
        <is>
          <t>SIE-0006-2022-SERCOP</t>
        </is>
      </c>
      <c r="B74" t="inlineStr">
        <is>
          <t>Ecuador</t>
        </is>
      </c>
      <c r="C74" t="inlineStr">
        <is>
          <t>SERCOP</t>
        </is>
      </c>
      <c r="D74" t="inlineStr">
        <is>
          <t>Pichincha</t>
        </is>
      </c>
      <c r="E74" t="inlineStr">
        <is>
          <t>Hospital Carlos Andrade Marín (IESS)</t>
        </is>
      </c>
      <c r="F74" t="inlineStr">
        <is>
          <t>Resonancia Magnética 3T</t>
        </is>
      </c>
      <c r="G74" t="inlineStr">
        <is>
          <t>MR</t>
        </is>
      </c>
      <c r="H74" t="inlineStr">
        <is>
          <t>2022-03-19</t>
        </is>
      </c>
      <c r="I74" t="n">
        <v>2022</v>
      </c>
      <c r="J74" t="inlineStr">
        <is>
          <t>Q1</t>
        </is>
      </c>
      <c r="K74" t="inlineStr">
        <is>
          <t>Cotización</t>
        </is>
      </c>
      <c r="L74" t="n">
        <v>1517000</v>
      </c>
      <c r="M74" t="inlineStr">
        <is>
          <t>USD</t>
        </is>
      </c>
      <c r="N74" t="inlineStr">
        <is>
          <t>Adjudicado</t>
        </is>
      </c>
      <c r="O74" t="inlineStr">
        <is>
          <t>Siemens Healthineers</t>
        </is>
      </c>
      <c r="P74" t="inlineStr">
        <is>
          <t>MAGNETOM Vida</t>
        </is>
      </c>
      <c r="Q74" t="n">
        <v>4</v>
      </c>
      <c r="R74" t="inlineStr">
        <is>
          <t>Sí</t>
        </is>
      </c>
      <c r="S74" t="inlineStr">
        <is>
          <t>No</t>
        </is>
      </c>
      <c r="T74" t="n">
        <v>3</v>
      </c>
    </row>
    <row r="75">
      <c r="A75" t="inlineStr">
        <is>
          <t>LP-0029-2022-SEACE</t>
        </is>
      </c>
      <c r="B75" t="inlineStr">
        <is>
          <t>Perú</t>
        </is>
      </c>
      <c r="C75" t="inlineStr">
        <is>
          <t>SEACE</t>
        </is>
      </c>
      <c r="D75" t="inlineStr">
        <is>
          <t>Arequipa</t>
        </is>
      </c>
      <c r="E75" t="inlineStr">
        <is>
          <t>Hospital Regional de Lambayeque</t>
        </is>
      </c>
      <c r="F75" t="inlineStr">
        <is>
          <t>Tomógrafo CT 256 cortes</t>
        </is>
      </c>
      <c r="G75" t="inlineStr">
        <is>
          <t>CT</t>
        </is>
      </c>
      <c r="H75" t="inlineStr">
        <is>
          <t>2022-05-12</t>
        </is>
      </c>
      <c r="I75" t="n">
        <v>2022</v>
      </c>
      <c r="J75" t="inlineStr">
        <is>
          <t>Q2</t>
        </is>
      </c>
      <c r="K75" t="inlineStr">
        <is>
          <t>Concurso Público</t>
        </is>
      </c>
      <c r="L75" t="n">
        <v>768000</v>
      </c>
      <c r="M75" t="inlineStr">
        <is>
          <t>USD</t>
        </is>
      </c>
      <c r="N75" t="inlineStr">
        <is>
          <t>Adjudicado</t>
        </is>
      </c>
      <c r="O75" t="inlineStr">
        <is>
          <t>Siemens Healthineers</t>
        </is>
      </c>
      <c r="P75" t="inlineStr">
        <is>
          <t>SOMATOM go.Now</t>
        </is>
      </c>
      <c r="Q75" t="n">
        <v>5</v>
      </c>
      <c r="R75" t="inlineStr">
        <is>
          <t>Sí</t>
        </is>
      </c>
      <c r="S75" t="inlineStr">
        <is>
          <t>No</t>
        </is>
      </c>
      <c r="U75" t="n">
        <v>256</v>
      </c>
    </row>
    <row r="76">
      <c r="A76" t="inlineStr">
        <is>
          <t>LP-0008-2022-SEACE</t>
        </is>
      </c>
      <c r="B76" t="inlineStr">
        <is>
          <t>Perú</t>
        </is>
      </c>
      <c r="C76" t="inlineStr">
        <is>
          <t>SEACE</t>
        </is>
      </c>
      <c r="D76" t="inlineStr">
        <is>
          <t>Ica</t>
        </is>
      </c>
      <c r="E76" t="inlineStr">
        <is>
          <t>Hospital Regional Honorio Delgado (Arequipa)</t>
        </is>
      </c>
      <c r="F76" t="inlineStr">
        <is>
          <t>Tomógrafo CT 64 cortes</t>
        </is>
      </c>
      <c r="G76" t="inlineStr">
        <is>
          <t>CT</t>
        </is>
      </c>
      <c r="H76" t="inlineStr">
        <is>
          <t>2022-05-14</t>
        </is>
      </c>
      <c r="I76" t="n">
        <v>2022</v>
      </c>
      <c r="J76" t="inlineStr">
        <is>
          <t>Q2</t>
        </is>
      </c>
      <c r="K76" t="inlineStr">
        <is>
          <t>Concurso Público</t>
        </is>
      </c>
      <c r="L76" t="n">
        <v>301000</v>
      </c>
      <c r="M76" t="inlineStr">
        <is>
          <t>USD</t>
        </is>
      </c>
      <c r="N76" t="inlineStr">
        <is>
          <t>Desierto</t>
        </is>
      </c>
      <c r="Q76" t="n">
        <v>0</v>
      </c>
      <c r="R76" t="inlineStr">
        <is>
          <t>Sí</t>
        </is>
      </c>
      <c r="S76" t="inlineStr">
        <is>
          <t>No</t>
        </is>
      </c>
      <c r="U76" t="n">
        <v>64</v>
      </c>
    </row>
    <row r="77">
      <c r="A77" t="inlineStr">
        <is>
          <t>LP-0114-2022-SEACE</t>
        </is>
      </c>
      <c r="B77" t="inlineStr">
        <is>
          <t>Perú</t>
        </is>
      </c>
      <c r="C77" t="inlineStr">
        <is>
          <t>SEACE</t>
        </is>
      </c>
      <c r="D77" t="inlineStr">
        <is>
          <t>Lambayeque</t>
        </is>
      </c>
      <c r="E77" t="inlineStr">
        <is>
          <t>Hospital de Alta Complejidad Virgen de la Puerta (EsSalud La Libertad)</t>
        </is>
      </c>
      <c r="F77" t="inlineStr">
        <is>
          <t>Tomógrafo CT 64 cortes</t>
        </is>
      </c>
      <c r="G77" t="inlineStr">
        <is>
          <t>CT</t>
        </is>
      </c>
      <c r="H77" t="inlineStr">
        <is>
          <t>2022-05-21</t>
        </is>
      </c>
      <c r="I77" t="n">
        <v>2022</v>
      </c>
      <c r="J77" t="inlineStr">
        <is>
          <t>Q2</t>
        </is>
      </c>
      <c r="K77" t="inlineStr">
        <is>
          <t>Licitación Pública</t>
        </is>
      </c>
      <c r="L77" t="n">
        <v>361000</v>
      </c>
      <c r="M77" t="inlineStr">
        <is>
          <t>USD</t>
        </is>
      </c>
      <c r="N77" t="inlineStr">
        <is>
          <t>Adjudicado</t>
        </is>
      </c>
      <c r="O77" t="inlineStr">
        <is>
          <t>Siemens Healthineers</t>
        </is>
      </c>
      <c r="P77" t="inlineStr">
        <is>
          <t>SOMATOM go.Up</t>
        </is>
      </c>
      <c r="Q77" t="n">
        <v>3</v>
      </c>
      <c r="R77" t="inlineStr">
        <is>
          <t>No</t>
        </is>
      </c>
      <c r="S77" t="inlineStr">
        <is>
          <t>No</t>
        </is>
      </c>
      <c r="U77" t="n">
        <v>64</v>
      </c>
    </row>
    <row r="78">
      <c r="A78" t="inlineStr">
        <is>
          <t>LP-0048-2022-SEACE</t>
        </is>
      </c>
      <c r="B78" t="inlineStr">
        <is>
          <t>Perú</t>
        </is>
      </c>
      <c r="C78" t="inlineStr">
        <is>
          <t>SEACE</t>
        </is>
      </c>
      <c r="D78" t="inlineStr">
        <is>
          <t>Cusco</t>
        </is>
      </c>
      <c r="E78" t="inlineStr">
        <is>
          <t>Clínica Internacional S.A.</t>
        </is>
      </c>
      <c r="F78" t="inlineStr">
        <is>
          <t>Tomógrafo CT 128 cortes</t>
        </is>
      </c>
      <c r="G78" t="inlineStr">
        <is>
          <t>CT</t>
        </is>
      </c>
      <c r="H78" t="inlineStr">
        <is>
          <t>2022-05-26</t>
        </is>
      </c>
      <c r="I78" t="n">
        <v>2022</v>
      </c>
      <c r="J78" t="inlineStr">
        <is>
          <t>Q2</t>
        </is>
      </c>
      <c r="K78" t="inlineStr">
        <is>
          <t>Subasta Inversa Electrónica</t>
        </is>
      </c>
      <c r="L78" t="n">
        <v>479000</v>
      </c>
      <c r="M78" t="inlineStr">
        <is>
          <t>USD</t>
        </is>
      </c>
      <c r="N78" t="inlineStr">
        <is>
          <t>Adjudicado</t>
        </is>
      </c>
      <c r="O78" t="inlineStr">
        <is>
          <t>Philips Healthcare</t>
        </is>
      </c>
      <c r="P78" t="inlineStr">
        <is>
          <t>Incisive CT 128</t>
        </is>
      </c>
      <c r="Q78" t="n">
        <v>4</v>
      </c>
      <c r="R78" t="inlineStr">
        <is>
          <t>Sí</t>
        </is>
      </c>
      <c r="S78" t="inlineStr">
        <is>
          <t>Sí</t>
        </is>
      </c>
      <c r="U78" t="n">
        <v>128</v>
      </c>
    </row>
    <row r="79">
      <c r="A79" t="inlineStr">
        <is>
          <t>LP-0102-2022-SEACE</t>
        </is>
      </c>
      <c r="B79" t="inlineStr">
        <is>
          <t>Perú</t>
        </is>
      </c>
      <c r="C79" t="inlineStr">
        <is>
          <t>SEACE</t>
        </is>
      </c>
      <c r="D79" t="inlineStr">
        <is>
          <t>Arequipa</t>
        </is>
      </c>
      <c r="E79" t="inlineStr">
        <is>
          <t>Instituto Nacional de Enfermedades Neoplásicas (INEN)</t>
        </is>
      </c>
      <c r="F79" t="inlineStr">
        <is>
          <t>Tomógrafo CT 64 cortes</t>
        </is>
      </c>
      <c r="G79" t="inlineStr">
        <is>
          <t>CT</t>
        </is>
      </c>
      <c r="H79" t="inlineStr">
        <is>
          <t>2022-06-08</t>
        </is>
      </c>
      <c r="I79" t="n">
        <v>2022</v>
      </c>
      <c r="J79" t="inlineStr">
        <is>
          <t>Q2</t>
        </is>
      </c>
      <c r="K79" t="inlineStr">
        <is>
          <t>Licitación Pública</t>
        </is>
      </c>
      <c r="L79" t="n">
        <v>377000</v>
      </c>
      <c r="M79" t="inlineStr">
        <is>
          <t>USD</t>
        </is>
      </c>
      <c r="N79" t="inlineStr">
        <is>
          <t>Adjudicado</t>
        </is>
      </c>
      <c r="O79" t="inlineStr">
        <is>
          <t>Siemens Healthineers</t>
        </is>
      </c>
      <c r="P79" t="inlineStr">
        <is>
          <t>SOMATOM go.Up</t>
        </is>
      </c>
      <c r="Q79" t="n">
        <v>3</v>
      </c>
      <c r="R79" t="inlineStr">
        <is>
          <t>No</t>
        </is>
      </c>
      <c r="S79" t="inlineStr">
        <is>
          <t>No</t>
        </is>
      </c>
      <c r="U79" t="n">
        <v>64</v>
      </c>
    </row>
    <row r="80">
      <c r="A80" t="inlineStr">
        <is>
          <t>LP-0120-2022-SEACE</t>
        </is>
      </c>
      <c r="B80" t="inlineStr">
        <is>
          <t>Perú</t>
        </is>
      </c>
      <c r="C80" t="inlineStr">
        <is>
          <t>SEACE</t>
        </is>
      </c>
      <c r="D80" t="inlineStr">
        <is>
          <t>Ica</t>
        </is>
      </c>
      <c r="E80" t="inlineStr">
        <is>
          <t>Hospital Nacional Edgardo Rebagliati Martins (EsSalud)</t>
        </is>
      </c>
      <c r="F80" t="inlineStr">
        <is>
          <t>Tomógrafo CT 256 cortes</t>
        </is>
      </c>
      <c r="G80" t="inlineStr">
        <is>
          <t>CT</t>
        </is>
      </c>
      <c r="H80" t="inlineStr">
        <is>
          <t>2022-06-22</t>
        </is>
      </c>
      <c r="I80" t="n">
        <v>2022</v>
      </c>
      <c r="J80" t="inlineStr">
        <is>
          <t>Q2</t>
        </is>
      </c>
      <c r="K80" t="inlineStr">
        <is>
          <t>Adjudicación Simplificada</t>
        </is>
      </c>
      <c r="L80" t="n">
        <v>797000</v>
      </c>
      <c r="M80" t="inlineStr">
        <is>
          <t>USD</t>
        </is>
      </c>
      <c r="N80" t="inlineStr">
        <is>
          <t>Adjudicado</t>
        </is>
      </c>
      <c r="O80" t="inlineStr">
        <is>
          <t>Philips Healthcare</t>
        </is>
      </c>
      <c r="P80" t="inlineStr">
        <is>
          <t>IQon Spectral CT</t>
        </is>
      </c>
      <c r="Q80" t="n">
        <v>3</v>
      </c>
      <c r="R80" t="inlineStr">
        <is>
          <t>Sí</t>
        </is>
      </c>
      <c r="S80" t="inlineStr">
        <is>
          <t>Sí</t>
        </is>
      </c>
      <c r="U80" t="n">
        <v>256</v>
      </c>
    </row>
    <row r="81">
      <c r="A81" t="inlineStr">
        <is>
          <t>LP-0050-2022-SEACE</t>
        </is>
      </c>
      <c r="B81" t="inlineStr">
        <is>
          <t>Perú</t>
        </is>
      </c>
      <c r="C81" t="inlineStr">
        <is>
          <t>SEACE</t>
        </is>
      </c>
      <c r="D81" t="inlineStr">
        <is>
          <t>La Libertad</t>
        </is>
      </c>
      <c r="E81" t="inlineStr">
        <is>
          <t>Hospital de la Solidaridad (SISOL)</t>
        </is>
      </c>
      <c r="F81" t="inlineStr">
        <is>
          <t>Tomógrafo CT 128 cortes</t>
        </is>
      </c>
      <c r="G81" t="inlineStr">
        <is>
          <t>CT</t>
        </is>
      </c>
      <c r="H81" t="inlineStr">
        <is>
          <t>2022-06-22</t>
        </is>
      </c>
      <c r="I81" t="n">
        <v>2022</v>
      </c>
      <c r="J81" t="inlineStr">
        <is>
          <t>Q2</t>
        </is>
      </c>
      <c r="K81" t="inlineStr">
        <is>
          <t>Licitación Pública</t>
        </is>
      </c>
      <c r="L81" t="n">
        <v>613000</v>
      </c>
      <c r="M81" t="inlineStr">
        <is>
          <t>USD</t>
        </is>
      </c>
      <c r="N81" t="inlineStr">
        <is>
          <t>Adjudicado</t>
        </is>
      </c>
      <c r="O81" t="inlineStr">
        <is>
          <t>Philips Healthcare</t>
        </is>
      </c>
      <c r="P81" t="inlineStr">
        <is>
          <t>Incisive CT 128</t>
        </is>
      </c>
      <c r="Q81" t="n">
        <v>4</v>
      </c>
      <c r="R81" t="inlineStr">
        <is>
          <t>Sí</t>
        </is>
      </c>
      <c r="S81" t="inlineStr">
        <is>
          <t>No</t>
        </is>
      </c>
      <c r="U81" t="n">
        <v>128</v>
      </c>
    </row>
    <row r="82">
      <c r="A82" t="inlineStr">
        <is>
          <t>LP-0062-2022-SEACE</t>
        </is>
      </c>
      <c r="B82" t="inlineStr">
        <is>
          <t>Perú</t>
        </is>
      </c>
      <c r="C82" t="inlineStr">
        <is>
          <t>SEACE</t>
        </is>
      </c>
      <c r="D82" t="inlineStr">
        <is>
          <t>Arequipa</t>
        </is>
      </c>
      <c r="E82" t="inlineStr">
        <is>
          <t>Hospital Regional de Lambayeque</t>
        </is>
      </c>
      <c r="F82" t="inlineStr">
        <is>
          <t>Tomógrafo CT 128 cortes</t>
        </is>
      </c>
      <c r="G82" t="inlineStr">
        <is>
          <t>CT</t>
        </is>
      </c>
      <c r="H82" t="inlineStr">
        <is>
          <t>2022-06-26</t>
        </is>
      </c>
      <c r="I82" t="n">
        <v>2022</v>
      </c>
      <c r="J82" t="inlineStr">
        <is>
          <t>Q2</t>
        </is>
      </c>
      <c r="K82" t="inlineStr">
        <is>
          <t>Concurso Público</t>
        </is>
      </c>
      <c r="L82" t="n">
        <v>471000</v>
      </c>
      <c r="M82" t="inlineStr">
        <is>
          <t>USD</t>
        </is>
      </c>
      <c r="N82" t="inlineStr">
        <is>
          <t>Adjudicado</t>
        </is>
      </c>
      <c r="O82" t="inlineStr">
        <is>
          <t>Siemens Healthineers</t>
        </is>
      </c>
      <c r="P82" t="inlineStr">
        <is>
          <t>SOMATOM go.Top</t>
        </is>
      </c>
      <c r="Q82" t="n">
        <v>4</v>
      </c>
      <c r="R82" t="inlineStr">
        <is>
          <t>No</t>
        </is>
      </c>
      <c r="S82" t="inlineStr">
        <is>
          <t>No</t>
        </is>
      </c>
      <c r="U82" t="n">
        <v>128</v>
      </c>
    </row>
    <row r="83">
      <c r="A83" t="inlineStr">
        <is>
          <t>SIE-0045-2022-SERCOP</t>
        </is>
      </c>
      <c r="B83" t="inlineStr">
        <is>
          <t>Ecuador</t>
        </is>
      </c>
      <c r="C83" t="inlineStr">
        <is>
          <t>SERCOP</t>
        </is>
      </c>
      <c r="D83" t="inlineStr">
        <is>
          <t>Azuay</t>
        </is>
      </c>
      <c r="E83" t="inlineStr">
        <is>
          <t>Hospital de los Valles (privado)</t>
        </is>
      </c>
      <c r="F83" t="inlineStr">
        <is>
          <t>Tomógrafo CT 64 cortes</t>
        </is>
      </c>
      <c r="G83" t="inlineStr">
        <is>
          <t>CT</t>
        </is>
      </c>
      <c r="H83" t="inlineStr">
        <is>
          <t>2022-07-12</t>
        </is>
      </c>
      <c r="I83" t="n">
        <v>2022</v>
      </c>
      <c r="J83" t="inlineStr">
        <is>
          <t>Q3</t>
        </is>
      </c>
      <c r="K83" t="inlineStr">
        <is>
          <t>Licitación</t>
        </is>
      </c>
      <c r="L83" t="n">
        <v>293000</v>
      </c>
      <c r="M83" t="inlineStr">
        <is>
          <t>USD</t>
        </is>
      </c>
      <c r="N83" t="inlineStr">
        <is>
          <t>Adjudicado</t>
        </is>
      </c>
      <c r="O83" t="inlineStr">
        <is>
          <t>GE Healthcare</t>
        </is>
      </c>
      <c r="P83" t="inlineStr">
        <is>
          <t>Revolution EVO</t>
        </is>
      </c>
      <c r="Q83" t="n">
        <v>3</v>
      </c>
      <c r="R83" t="inlineStr">
        <is>
          <t>Sí</t>
        </is>
      </c>
      <c r="S83" t="inlineStr">
        <is>
          <t>No</t>
        </is>
      </c>
      <c r="U83" t="n">
        <v>64</v>
      </c>
    </row>
    <row r="84">
      <c r="A84" t="inlineStr">
        <is>
          <t>LP-0068-2022-SEACE</t>
        </is>
      </c>
      <c r="B84" t="inlineStr">
        <is>
          <t>Perú</t>
        </is>
      </c>
      <c r="C84" t="inlineStr">
        <is>
          <t>SEACE</t>
        </is>
      </c>
      <c r="D84" t="inlineStr">
        <is>
          <t>Cusco</t>
        </is>
      </c>
      <c r="E84" t="inlineStr">
        <is>
          <t>Gobierno Regional de Piura - Gerencia Regional de Salud</t>
        </is>
      </c>
      <c r="F84" t="inlineStr">
        <is>
          <t>Tomógrafo CT 256 cortes</t>
        </is>
      </c>
      <c r="G84" t="inlineStr">
        <is>
          <t>CT</t>
        </is>
      </c>
      <c r="H84" t="inlineStr">
        <is>
          <t>2022-07-13</t>
        </is>
      </c>
      <c r="I84" t="n">
        <v>2022</v>
      </c>
      <c r="J84" t="inlineStr">
        <is>
          <t>Q3</t>
        </is>
      </c>
      <c r="K84" t="inlineStr">
        <is>
          <t>Subasta Inversa Electrónica</t>
        </is>
      </c>
      <c r="L84" t="n">
        <v>918000</v>
      </c>
      <c r="M84" t="inlineStr">
        <is>
          <t>USD</t>
        </is>
      </c>
      <c r="N84" t="inlineStr">
        <is>
          <t>Adjudicado</t>
        </is>
      </c>
      <c r="O84" t="inlineStr">
        <is>
          <t>Philips Healthcare</t>
        </is>
      </c>
      <c r="P84" t="inlineStr">
        <is>
          <t>IQon Spectral CT</t>
        </is>
      </c>
      <c r="Q84" t="n">
        <v>3</v>
      </c>
      <c r="R84" t="inlineStr">
        <is>
          <t>No</t>
        </is>
      </c>
      <c r="S84" t="inlineStr">
        <is>
          <t>No</t>
        </is>
      </c>
      <c r="U84" t="n">
        <v>256</v>
      </c>
    </row>
    <row r="85">
      <c r="A85" t="inlineStr">
        <is>
          <t>LP-0074-2022-SEACE</t>
        </is>
      </c>
      <c r="B85" t="inlineStr">
        <is>
          <t>Perú</t>
        </is>
      </c>
      <c r="C85" t="inlineStr">
        <is>
          <t>SEACE</t>
        </is>
      </c>
      <c r="D85" t="inlineStr">
        <is>
          <t>Ica</t>
        </is>
      </c>
      <c r="E85" t="inlineStr">
        <is>
          <t>Hospital Nacional Edgardo Rebagliati Martins (EsSalud)</t>
        </is>
      </c>
      <c r="F85" t="inlineStr">
        <is>
          <t>Tomógrafo CT 256 cortes</t>
        </is>
      </c>
      <c r="G85" t="inlineStr">
        <is>
          <t>CT</t>
        </is>
      </c>
      <c r="H85" t="inlineStr">
        <is>
          <t>2022-07-26</t>
        </is>
      </c>
      <c r="I85" t="n">
        <v>2022</v>
      </c>
      <c r="J85" t="inlineStr">
        <is>
          <t>Q3</t>
        </is>
      </c>
      <c r="K85" t="inlineStr">
        <is>
          <t>Concurso Público</t>
        </is>
      </c>
      <c r="L85" t="n">
        <v>686000</v>
      </c>
      <c r="M85" t="inlineStr">
        <is>
          <t>USD</t>
        </is>
      </c>
      <c r="N85" t="inlineStr">
        <is>
          <t>Desierto</t>
        </is>
      </c>
      <c r="Q85" t="n">
        <v>0</v>
      </c>
      <c r="R85" t="inlineStr">
        <is>
          <t>No</t>
        </is>
      </c>
      <c r="S85" t="inlineStr">
        <is>
          <t>Sí</t>
        </is>
      </c>
      <c r="U85" t="n">
        <v>256</v>
      </c>
    </row>
    <row r="86">
      <c r="A86" t="inlineStr">
        <is>
          <t>LP-0042-2022-SEACE</t>
        </is>
      </c>
      <c r="B86" t="inlineStr">
        <is>
          <t>Perú</t>
        </is>
      </c>
      <c r="C86" t="inlineStr">
        <is>
          <t>SEACE</t>
        </is>
      </c>
      <c r="D86" t="inlineStr">
        <is>
          <t>Arequipa</t>
        </is>
      </c>
      <c r="E86" t="inlineStr">
        <is>
          <t>Hospital Nacional Arzobispo Loayza (MINSA)</t>
        </is>
      </c>
      <c r="F86" t="inlineStr">
        <is>
          <t>Tomógrafo CT 64 cortes</t>
        </is>
      </c>
      <c r="G86" t="inlineStr">
        <is>
          <t>CT</t>
        </is>
      </c>
      <c r="H86" t="inlineStr">
        <is>
          <t>2022-08-20</t>
        </is>
      </c>
      <c r="I86" t="n">
        <v>2022</v>
      </c>
      <c r="J86" t="inlineStr">
        <is>
          <t>Q3</t>
        </is>
      </c>
      <c r="K86" t="inlineStr">
        <is>
          <t>Adjudicación Simplificada</t>
        </is>
      </c>
      <c r="L86" t="n">
        <v>288000</v>
      </c>
      <c r="M86" t="inlineStr">
        <is>
          <t>USD</t>
        </is>
      </c>
      <c r="N86" t="inlineStr">
        <is>
          <t>Adjudicado</t>
        </is>
      </c>
      <c r="O86" t="inlineStr">
        <is>
          <t>Philips Healthcare</t>
        </is>
      </c>
      <c r="P86" t="inlineStr">
        <is>
          <t>Incisive CT</t>
        </is>
      </c>
      <c r="Q86" t="n">
        <v>1</v>
      </c>
      <c r="R86" t="inlineStr">
        <is>
          <t>Sí</t>
        </is>
      </c>
      <c r="S86" t="inlineStr">
        <is>
          <t>Sí</t>
        </is>
      </c>
      <c r="U86" t="n">
        <v>64</v>
      </c>
    </row>
    <row r="87">
      <c r="A87" t="inlineStr">
        <is>
          <t>SIE-0022-2022-SERCOP</t>
        </is>
      </c>
      <c r="B87" t="inlineStr">
        <is>
          <t>Ecuador</t>
        </is>
      </c>
      <c r="C87" t="inlineStr">
        <is>
          <t>SERCOP</t>
        </is>
      </c>
      <c r="D87" t="inlineStr">
        <is>
          <t>Pichincha</t>
        </is>
      </c>
      <c r="E87" t="inlineStr">
        <is>
          <t>Ministerio de Salud Pública - Hospital Eugenio Espejo</t>
        </is>
      </c>
      <c r="F87" t="inlineStr">
        <is>
          <t>Resonancia Magnética 1.5T</t>
        </is>
      </c>
      <c r="G87" t="inlineStr">
        <is>
          <t>MR</t>
        </is>
      </c>
      <c r="H87" t="inlineStr">
        <is>
          <t>2022-08-23</t>
        </is>
      </c>
      <c r="I87" t="n">
        <v>2022</v>
      </c>
      <c r="J87" t="inlineStr">
        <is>
          <t>Q3</t>
        </is>
      </c>
      <c r="K87" t="inlineStr">
        <is>
          <t>Cotización</t>
        </is>
      </c>
      <c r="L87" t="n">
        <v>901000</v>
      </c>
      <c r="M87" t="inlineStr">
        <is>
          <t>USD</t>
        </is>
      </c>
      <c r="N87" t="inlineStr">
        <is>
          <t>Adjudicado</t>
        </is>
      </c>
      <c r="O87" t="inlineStr">
        <is>
          <t>Canon Medical</t>
        </is>
      </c>
      <c r="P87" t="inlineStr">
        <is>
          <t>Vantage Orian</t>
        </is>
      </c>
      <c r="Q87" t="n">
        <v>1</v>
      </c>
      <c r="R87" t="inlineStr">
        <is>
          <t>Sí</t>
        </is>
      </c>
      <c r="S87" t="inlineStr">
        <is>
          <t>Sí</t>
        </is>
      </c>
      <c r="T87" t="n">
        <v>1.5</v>
      </c>
    </row>
    <row r="88">
      <c r="A88" t="inlineStr">
        <is>
          <t>LP-0106-2022-SEACE</t>
        </is>
      </c>
      <c r="B88" t="inlineStr">
        <is>
          <t>Perú</t>
        </is>
      </c>
      <c r="C88" t="inlineStr">
        <is>
          <t>SEACE</t>
        </is>
      </c>
      <c r="D88" t="inlineStr">
        <is>
          <t>Lima</t>
        </is>
      </c>
      <c r="E88" t="inlineStr">
        <is>
          <t>Hospital Nacional Dos de Mayo (MINSA)</t>
        </is>
      </c>
      <c r="F88" t="inlineStr">
        <is>
          <t>Resonancia Magnética 3T</t>
        </is>
      </c>
      <c r="G88" t="inlineStr">
        <is>
          <t>MR</t>
        </is>
      </c>
      <c r="H88" t="inlineStr">
        <is>
          <t>2022-09-01</t>
        </is>
      </c>
      <c r="I88" t="n">
        <v>2022</v>
      </c>
      <c r="J88" t="inlineStr">
        <is>
          <t>Q3</t>
        </is>
      </c>
      <c r="K88" t="inlineStr">
        <is>
          <t>Licitación Pública</t>
        </is>
      </c>
      <c r="L88" t="n">
        <v>1687000</v>
      </c>
      <c r="M88" t="inlineStr">
        <is>
          <t>USD</t>
        </is>
      </c>
      <c r="N88" t="inlineStr">
        <is>
          <t>Adjudicado</t>
        </is>
      </c>
      <c r="O88" t="inlineStr">
        <is>
          <t>Siemens Healthineers</t>
        </is>
      </c>
      <c r="P88" t="inlineStr">
        <is>
          <t>MAGNETOM Vida</t>
        </is>
      </c>
      <c r="Q88" t="n">
        <v>2</v>
      </c>
      <c r="R88" t="inlineStr">
        <is>
          <t>No</t>
        </is>
      </c>
      <c r="S88" t="inlineStr">
        <is>
          <t>No</t>
        </is>
      </c>
      <c r="T88" t="n">
        <v>3</v>
      </c>
    </row>
    <row r="89">
      <c r="A89" t="inlineStr">
        <is>
          <t>LP-0054-2022-SEACE</t>
        </is>
      </c>
      <c r="B89" t="inlineStr">
        <is>
          <t>Perú</t>
        </is>
      </c>
      <c r="C89" t="inlineStr">
        <is>
          <t>SEACE</t>
        </is>
      </c>
      <c r="D89" t="inlineStr">
        <is>
          <t>Lima</t>
        </is>
      </c>
      <c r="E89" t="inlineStr">
        <is>
          <t>Hospital Nacional Arzobispo Loayza (MINSA)</t>
        </is>
      </c>
      <c r="F89" t="inlineStr">
        <is>
          <t>Resonancia Magnética 3T</t>
        </is>
      </c>
      <c r="G89" t="inlineStr">
        <is>
          <t>MR</t>
        </is>
      </c>
      <c r="H89" t="inlineStr">
        <is>
          <t>2022-09-04</t>
        </is>
      </c>
      <c r="I89" t="n">
        <v>2022</v>
      </c>
      <c r="J89" t="inlineStr">
        <is>
          <t>Q3</t>
        </is>
      </c>
      <c r="K89" t="inlineStr">
        <is>
          <t>Subasta Inversa Electrónica</t>
        </is>
      </c>
      <c r="L89" t="n">
        <v>1897000</v>
      </c>
      <c r="M89" t="inlineStr">
        <is>
          <t>USD</t>
        </is>
      </c>
      <c r="N89" t="inlineStr">
        <is>
          <t>Adjudicado</t>
        </is>
      </c>
      <c r="O89" t="inlineStr">
        <is>
          <t>Siemens Healthineers</t>
        </is>
      </c>
      <c r="P89" t="inlineStr">
        <is>
          <t>MAGNETOM Vida</t>
        </is>
      </c>
      <c r="Q89" t="n">
        <v>3</v>
      </c>
      <c r="R89" t="inlineStr">
        <is>
          <t>Sí</t>
        </is>
      </c>
      <c r="S89" t="inlineStr">
        <is>
          <t>Sí</t>
        </is>
      </c>
      <c r="T89" t="n">
        <v>3</v>
      </c>
    </row>
    <row r="90">
      <c r="A90" t="inlineStr">
        <is>
          <t>LP-0079-2022-SEACE</t>
        </is>
      </c>
      <c r="B90" t="inlineStr">
        <is>
          <t>Perú</t>
        </is>
      </c>
      <c r="C90" t="inlineStr">
        <is>
          <t>SEACE</t>
        </is>
      </c>
      <c r="D90" t="inlineStr">
        <is>
          <t>La Libertad</t>
        </is>
      </c>
      <c r="E90" t="inlineStr">
        <is>
          <t>Hospital Nacional Edgardo Rebagliati Martins (EsSalud)</t>
        </is>
      </c>
      <c r="F90" t="inlineStr">
        <is>
          <t>Resonancia Magnética 1.5T</t>
        </is>
      </c>
      <c r="G90" t="inlineStr">
        <is>
          <t>MR</t>
        </is>
      </c>
      <c r="H90" t="inlineStr">
        <is>
          <t>2022-09-07</t>
        </is>
      </c>
      <c r="I90" t="n">
        <v>2022</v>
      </c>
      <c r="J90" t="inlineStr">
        <is>
          <t>Q3</t>
        </is>
      </c>
      <c r="K90" t="inlineStr">
        <is>
          <t>Subasta Inversa Electrónica</t>
        </is>
      </c>
      <c r="L90" t="n">
        <v>1191000</v>
      </c>
      <c r="M90" t="inlineStr">
        <is>
          <t>USD</t>
        </is>
      </c>
      <c r="N90" t="inlineStr">
        <is>
          <t>Adjudicado</t>
        </is>
      </c>
      <c r="O90" t="inlineStr">
        <is>
          <t>Siemens Healthineers</t>
        </is>
      </c>
      <c r="P90" t="inlineStr">
        <is>
          <t>MAGNETOM Sola</t>
        </is>
      </c>
      <c r="Q90" t="n">
        <v>1</v>
      </c>
      <c r="R90" t="inlineStr">
        <is>
          <t>Sí</t>
        </is>
      </c>
      <c r="S90" t="inlineStr">
        <is>
          <t>Sí</t>
        </is>
      </c>
      <c r="T90" t="n">
        <v>1.5</v>
      </c>
    </row>
    <row r="91">
      <c r="A91" t="inlineStr">
        <is>
          <t>SIE-0053-2022-SERCOP</t>
        </is>
      </c>
      <c r="B91" t="inlineStr">
        <is>
          <t>Ecuador</t>
        </is>
      </c>
      <c r="C91" t="inlineStr">
        <is>
          <t>SERCOP</t>
        </is>
      </c>
      <c r="D91" t="inlineStr">
        <is>
          <t>Guayas</t>
        </is>
      </c>
      <c r="E91" t="inlineStr">
        <is>
          <t>Hospital de Especialidades Fuerzas Armadas N°1</t>
        </is>
      </c>
      <c r="F91" t="inlineStr">
        <is>
          <t>Resonancia Magnética 1.5T</t>
        </is>
      </c>
      <c r="G91" t="inlineStr">
        <is>
          <t>MR</t>
        </is>
      </c>
      <c r="H91" t="inlineStr">
        <is>
          <t>2022-09-13</t>
        </is>
      </c>
      <c r="I91" t="n">
        <v>2022</v>
      </c>
      <c r="J91" t="inlineStr">
        <is>
          <t>Q3</t>
        </is>
      </c>
      <c r="K91" t="inlineStr">
        <is>
          <t>Licitación</t>
        </is>
      </c>
      <c r="L91" t="n">
        <v>902000</v>
      </c>
      <c r="M91" t="inlineStr">
        <is>
          <t>USD</t>
        </is>
      </c>
      <c r="N91" t="inlineStr">
        <is>
          <t>Adjudicado</t>
        </is>
      </c>
      <c r="O91" t="inlineStr">
        <is>
          <t>Canon Medical</t>
        </is>
      </c>
      <c r="P91" t="inlineStr">
        <is>
          <t>Vantage Orian</t>
        </is>
      </c>
      <c r="Q91" t="n">
        <v>3</v>
      </c>
      <c r="R91" t="inlineStr">
        <is>
          <t>Sí</t>
        </is>
      </c>
      <c r="S91" t="inlineStr">
        <is>
          <t>No</t>
        </is>
      </c>
      <c r="T91" t="n">
        <v>1.5</v>
      </c>
    </row>
    <row r="92">
      <c r="A92" t="inlineStr">
        <is>
          <t>LP-0090-2022-SEACE</t>
        </is>
      </c>
      <c r="B92" t="inlineStr">
        <is>
          <t>Perú</t>
        </is>
      </c>
      <c r="C92" t="inlineStr">
        <is>
          <t>SEACE</t>
        </is>
      </c>
      <c r="D92" t="inlineStr">
        <is>
          <t>Ica</t>
        </is>
      </c>
      <c r="E92" t="inlineStr">
        <is>
          <t>Hospital Nacional Arzobispo Loayza (MINSA)</t>
        </is>
      </c>
      <c r="F92" t="inlineStr">
        <is>
          <t>Tomógrafo CT 256 cortes</t>
        </is>
      </c>
      <c r="G92" t="inlineStr">
        <is>
          <t>CT</t>
        </is>
      </c>
      <c r="H92" t="inlineStr">
        <is>
          <t>2022-09-13</t>
        </is>
      </c>
      <c r="I92" t="n">
        <v>2022</v>
      </c>
      <c r="J92" t="inlineStr">
        <is>
          <t>Q3</t>
        </is>
      </c>
      <c r="K92" t="inlineStr">
        <is>
          <t>Subasta Inversa Electrónica</t>
        </is>
      </c>
      <c r="L92" t="n">
        <v>835000</v>
      </c>
      <c r="M92" t="inlineStr">
        <is>
          <t>USD</t>
        </is>
      </c>
      <c r="N92" t="inlineStr">
        <is>
          <t>Adjudicado</t>
        </is>
      </c>
      <c r="O92" t="inlineStr">
        <is>
          <t>GE Healthcare</t>
        </is>
      </c>
      <c r="P92" t="inlineStr">
        <is>
          <t>Revolution HD</t>
        </is>
      </c>
      <c r="Q92" t="n">
        <v>3</v>
      </c>
      <c r="R92" t="inlineStr">
        <is>
          <t>Sí</t>
        </is>
      </c>
      <c r="S92" t="inlineStr">
        <is>
          <t>No</t>
        </is>
      </c>
      <c r="U92" t="n">
        <v>256</v>
      </c>
    </row>
    <row r="93">
      <c r="A93" t="inlineStr">
        <is>
          <t>LP-0056-2022-SEACE</t>
        </is>
      </c>
      <c r="B93" t="inlineStr">
        <is>
          <t>Perú</t>
        </is>
      </c>
      <c r="C93" t="inlineStr">
        <is>
          <t>SEACE</t>
        </is>
      </c>
      <c r="D93" t="inlineStr">
        <is>
          <t>La Libertad</t>
        </is>
      </c>
      <c r="E93" t="inlineStr">
        <is>
          <t>Hospital Regional de Lambayeque</t>
        </is>
      </c>
      <c r="F93" t="inlineStr">
        <is>
          <t>Tomógrafo CT 128 cortes</t>
        </is>
      </c>
      <c r="G93" t="inlineStr">
        <is>
          <t>CT</t>
        </is>
      </c>
      <c r="H93" t="inlineStr">
        <is>
          <t>2022-09-21</t>
        </is>
      </c>
      <c r="I93" t="n">
        <v>2022</v>
      </c>
      <c r="J93" t="inlineStr">
        <is>
          <t>Q3</t>
        </is>
      </c>
      <c r="K93" t="inlineStr">
        <is>
          <t>Licitación Pública</t>
        </is>
      </c>
      <c r="L93" t="n">
        <v>490000</v>
      </c>
      <c r="M93" t="inlineStr">
        <is>
          <t>USD</t>
        </is>
      </c>
      <c r="N93" t="inlineStr">
        <is>
          <t>Adjudicado</t>
        </is>
      </c>
      <c r="O93" t="inlineStr">
        <is>
          <t>Philips Healthcare</t>
        </is>
      </c>
      <c r="P93" t="inlineStr">
        <is>
          <t>Incisive CT 128</t>
        </is>
      </c>
      <c r="Q93" t="n">
        <v>5</v>
      </c>
      <c r="R93" t="inlineStr">
        <is>
          <t>Sí</t>
        </is>
      </c>
      <c r="S93" t="inlineStr">
        <is>
          <t>No</t>
        </is>
      </c>
      <c r="U93" t="n">
        <v>128</v>
      </c>
    </row>
    <row r="94">
      <c r="A94" t="inlineStr">
        <is>
          <t>LP-0089-2022-SEACE</t>
        </is>
      </c>
      <c r="B94" t="inlineStr">
        <is>
          <t>Perú</t>
        </is>
      </c>
      <c r="C94" t="inlineStr">
        <is>
          <t>SEACE</t>
        </is>
      </c>
      <c r="D94" t="inlineStr">
        <is>
          <t>Ica</t>
        </is>
      </c>
      <c r="E94" t="inlineStr">
        <is>
          <t>Hospital Nacional Carlos Alberto Seguín Escobedo (EsSalud Arequipa)</t>
        </is>
      </c>
      <c r="F94" t="inlineStr">
        <is>
          <t>Tomógrafo CT 64 cortes</t>
        </is>
      </c>
      <c r="G94" t="inlineStr">
        <is>
          <t>CT</t>
        </is>
      </c>
      <c r="H94" t="inlineStr">
        <is>
          <t>2022-09-27</t>
        </is>
      </c>
      <c r="I94" t="n">
        <v>2022</v>
      </c>
      <c r="J94" t="inlineStr">
        <is>
          <t>Q3</t>
        </is>
      </c>
      <c r="K94" t="inlineStr">
        <is>
          <t>Adjudicación Simplificada</t>
        </is>
      </c>
      <c r="L94" t="n">
        <v>335000</v>
      </c>
      <c r="M94" t="inlineStr">
        <is>
          <t>USD</t>
        </is>
      </c>
      <c r="N94" t="inlineStr">
        <is>
          <t>Adjudicado</t>
        </is>
      </c>
      <c r="O94" t="inlineStr">
        <is>
          <t>Philips Healthcare</t>
        </is>
      </c>
      <c r="P94" t="inlineStr">
        <is>
          <t>Incisive CT</t>
        </is>
      </c>
      <c r="Q94" t="n">
        <v>2</v>
      </c>
      <c r="R94" t="inlineStr">
        <is>
          <t>Sí</t>
        </is>
      </c>
      <c r="S94" t="inlineStr">
        <is>
          <t>Sí</t>
        </is>
      </c>
      <c r="U94" t="n">
        <v>64</v>
      </c>
    </row>
    <row r="95">
      <c r="A95" t="inlineStr">
        <is>
          <t>LP-0001-2022-SEACE</t>
        </is>
      </c>
      <c r="B95" t="inlineStr">
        <is>
          <t>Perú</t>
        </is>
      </c>
      <c r="C95" t="inlineStr">
        <is>
          <t>SEACE</t>
        </is>
      </c>
      <c r="D95" t="inlineStr">
        <is>
          <t>Lima</t>
        </is>
      </c>
      <c r="E95" t="inlineStr">
        <is>
          <t>Hospital Regional Honorio Delgado (Arequipa)</t>
        </is>
      </c>
      <c r="F95" t="inlineStr">
        <is>
          <t>Resonancia Magnética 1.5T</t>
        </is>
      </c>
      <c r="G95" t="inlineStr">
        <is>
          <t>MR</t>
        </is>
      </c>
      <c r="H95" t="inlineStr">
        <is>
          <t>2022-09-30</t>
        </is>
      </c>
      <c r="I95" t="n">
        <v>2022</v>
      </c>
      <c r="J95" t="inlineStr">
        <is>
          <t>Q3</t>
        </is>
      </c>
      <c r="K95" t="inlineStr">
        <is>
          <t>Licitación Pública</t>
        </is>
      </c>
      <c r="L95" t="n">
        <v>1110000</v>
      </c>
      <c r="M95" t="inlineStr">
        <is>
          <t>USD</t>
        </is>
      </c>
      <c r="N95" t="inlineStr">
        <is>
          <t>Adjudicado</t>
        </is>
      </c>
      <c r="O95" t="inlineStr">
        <is>
          <t>Siemens Healthineers</t>
        </is>
      </c>
      <c r="P95" t="inlineStr">
        <is>
          <t>MAGNETOM Sola</t>
        </is>
      </c>
      <c r="Q95" t="n">
        <v>5</v>
      </c>
      <c r="R95" t="inlineStr">
        <is>
          <t>Sí</t>
        </is>
      </c>
      <c r="S95" t="inlineStr">
        <is>
          <t>Sí</t>
        </is>
      </c>
      <c r="T95" t="n">
        <v>1.5</v>
      </c>
    </row>
    <row r="96">
      <c r="A96" t="inlineStr">
        <is>
          <t>LP-0094-2022-SEACE</t>
        </is>
      </c>
      <c r="B96" t="inlineStr">
        <is>
          <t>Perú</t>
        </is>
      </c>
      <c r="C96" t="inlineStr">
        <is>
          <t>SEACE</t>
        </is>
      </c>
      <c r="D96" t="inlineStr">
        <is>
          <t>Lima</t>
        </is>
      </c>
      <c r="E96" t="inlineStr">
        <is>
          <t>Hospital Nacional Guillermo Almenara Irigoyen (EsSalud)</t>
        </is>
      </c>
      <c r="F96" t="inlineStr">
        <is>
          <t>Resonancia Magnética 3T</t>
        </is>
      </c>
      <c r="G96" t="inlineStr">
        <is>
          <t>MR</t>
        </is>
      </c>
      <c r="H96" t="inlineStr">
        <is>
          <t>2022-10-23</t>
        </is>
      </c>
      <c r="I96" t="n">
        <v>2022</v>
      </c>
      <c r="J96" t="inlineStr">
        <is>
          <t>Q4</t>
        </is>
      </c>
      <c r="K96" t="inlineStr">
        <is>
          <t>Licitación Pública</t>
        </is>
      </c>
      <c r="L96" t="n">
        <v>1526000</v>
      </c>
      <c r="M96" t="inlineStr">
        <is>
          <t>USD</t>
        </is>
      </c>
      <c r="N96" t="inlineStr">
        <is>
          <t>Adjudicado</t>
        </is>
      </c>
      <c r="O96" t="inlineStr">
        <is>
          <t>Philips Healthcare</t>
        </is>
      </c>
      <c r="P96" t="inlineStr">
        <is>
          <t>Ingenia Elition</t>
        </is>
      </c>
      <c r="Q96" t="n">
        <v>3</v>
      </c>
      <c r="R96" t="inlineStr">
        <is>
          <t>Sí</t>
        </is>
      </c>
      <c r="S96" t="inlineStr">
        <is>
          <t>Sí</t>
        </is>
      </c>
      <c r="T96" t="n">
        <v>3</v>
      </c>
    </row>
    <row r="97">
      <c r="A97" t="inlineStr">
        <is>
          <t>LP-0052-2022-SEACE</t>
        </is>
      </c>
      <c r="B97" t="inlineStr">
        <is>
          <t>Perú</t>
        </is>
      </c>
      <c r="C97" t="inlineStr">
        <is>
          <t>SEACE</t>
        </is>
      </c>
      <c r="D97" t="inlineStr">
        <is>
          <t>Arequipa</t>
        </is>
      </c>
      <c r="E97" t="inlineStr">
        <is>
          <t>Instituto Nacional de Enfermedades Neoplásicas (INEN)</t>
        </is>
      </c>
      <c r="F97" t="inlineStr">
        <is>
          <t>Resonancia Magnética 3T</t>
        </is>
      </c>
      <c r="G97" t="inlineStr">
        <is>
          <t>MR</t>
        </is>
      </c>
      <c r="H97" t="inlineStr">
        <is>
          <t>2022-12-01</t>
        </is>
      </c>
      <c r="I97" t="n">
        <v>2022</v>
      </c>
      <c r="J97" t="inlineStr">
        <is>
          <t>Q4</t>
        </is>
      </c>
      <c r="K97" t="inlineStr">
        <is>
          <t>Concurso Público</t>
        </is>
      </c>
      <c r="L97" t="n">
        <v>1486000</v>
      </c>
      <c r="M97" t="inlineStr">
        <is>
          <t>USD</t>
        </is>
      </c>
      <c r="N97" t="inlineStr">
        <is>
          <t>Adjudicado</t>
        </is>
      </c>
      <c r="O97" t="inlineStr">
        <is>
          <t>GE Healthcare</t>
        </is>
      </c>
      <c r="P97" t="inlineStr">
        <is>
          <t>SIGNA Premier</t>
        </is>
      </c>
      <c r="Q97" t="n">
        <v>4</v>
      </c>
      <c r="R97" t="inlineStr">
        <is>
          <t>Sí</t>
        </is>
      </c>
      <c r="S97" t="inlineStr">
        <is>
          <t>No</t>
        </is>
      </c>
      <c r="T97" t="n">
        <v>3</v>
      </c>
    </row>
    <row r="98">
      <c r="A98" t="inlineStr">
        <is>
          <t>LP-0009-2022-SEACE</t>
        </is>
      </c>
      <c r="B98" t="inlineStr">
        <is>
          <t>Perú</t>
        </is>
      </c>
      <c r="C98" t="inlineStr">
        <is>
          <t>SEACE</t>
        </is>
      </c>
      <c r="D98" t="inlineStr">
        <is>
          <t>Junín</t>
        </is>
      </c>
      <c r="E98" t="inlineStr">
        <is>
          <t>Hospital Nacional Dos de Mayo (MINSA)</t>
        </is>
      </c>
      <c r="F98" t="inlineStr">
        <is>
          <t>Tomógrafo CT 128 cortes</t>
        </is>
      </c>
      <c r="G98" t="inlineStr">
        <is>
          <t>CT</t>
        </is>
      </c>
      <c r="H98" t="inlineStr">
        <is>
          <t>2022-12-20</t>
        </is>
      </c>
      <c r="I98" t="n">
        <v>2022</v>
      </c>
      <c r="J98" t="inlineStr">
        <is>
          <t>Q4</t>
        </is>
      </c>
      <c r="K98" t="inlineStr">
        <is>
          <t>Subasta Inversa Electrónica</t>
        </is>
      </c>
      <c r="L98" t="n">
        <v>548000</v>
      </c>
      <c r="M98" t="inlineStr">
        <is>
          <t>USD</t>
        </is>
      </c>
      <c r="N98" t="inlineStr">
        <is>
          <t>Adjudicado</t>
        </is>
      </c>
      <c r="O98" t="inlineStr">
        <is>
          <t>Philips Healthcare</t>
        </is>
      </c>
      <c r="P98" t="inlineStr">
        <is>
          <t>Incisive CT 128</t>
        </is>
      </c>
      <c r="Q98" t="n">
        <v>5</v>
      </c>
      <c r="R98" t="inlineStr">
        <is>
          <t>Sí</t>
        </is>
      </c>
      <c r="S98" t="inlineStr">
        <is>
          <t>No</t>
        </is>
      </c>
      <c r="U98" t="n">
        <v>128</v>
      </c>
    </row>
    <row r="99">
      <c r="A99" t="inlineStr">
        <is>
          <t>LP-0096-2023-SEACE</t>
        </is>
      </c>
      <c r="B99" t="inlineStr">
        <is>
          <t>Perú</t>
        </is>
      </c>
      <c r="C99" t="inlineStr">
        <is>
          <t>SEACE</t>
        </is>
      </c>
      <c r="D99" t="inlineStr">
        <is>
          <t>La Libertad</t>
        </is>
      </c>
      <c r="E99" t="inlineStr">
        <is>
          <t>Hospital de Alta Complejidad Virgen de la Puerta (EsSalud La Libertad)</t>
        </is>
      </c>
      <c r="F99" t="inlineStr">
        <is>
          <t>Tomógrafo CT 256 cortes</t>
        </is>
      </c>
      <c r="G99" t="inlineStr">
        <is>
          <t>CT</t>
        </is>
      </c>
      <c r="H99" t="inlineStr">
        <is>
          <t>2023-01-21</t>
        </is>
      </c>
      <c r="I99" t="n">
        <v>2023</v>
      </c>
      <c r="J99" t="inlineStr">
        <is>
          <t>Q1</t>
        </is>
      </c>
      <c r="K99" t="inlineStr">
        <is>
          <t>Subasta Inversa Electrónica</t>
        </is>
      </c>
      <c r="L99" t="n">
        <v>813000</v>
      </c>
      <c r="M99" t="inlineStr">
        <is>
          <t>USD</t>
        </is>
      </c>
      <c r="N99" t="inlineStr">
        <is>
          <t>Adjudicado</t>
        </is>
      </c>
      <c r="O99" t="inlineStr">
        <is>
          <t>GE Healthcare</t>
        </is>
      </c>
      <c r="P99" t="inlineStr">
        <is>
          <t>Revolution HD</t>
        </is>
      </c>
      <c r="Q99" t="n">
        <v>3</v>
      </c>
      <c r="R99" t="inlineStr">
        <is>
          <t>No</t>
        </is>
      </c>
      <c r="S99" t="inlineStr">
        <is>
          <t>No</t>
        </is>
      </c>
      <c r="U99" t="n">
        <v>256</v>
      </c>
    </row>
    <row r="100">
      <c r="A100" t="inlineStr">
        <is>
          <t>SIE-0008-2023-SERCOP</t>
        </is>
      </c>
      <c r="B100" t="inlineStr">
        <is>
          <t>Ecuador</t>
        </is>
      </c>
      <c r="C100" t="inlineStr">
        <is>
          <t>SERCOP</t>
        </is>
      </c>
      <c r="D100" t="inlineStr">
        <is>
          <t>Guayas</t>
        </is>
      </c>
      <c r="E100" t="inlineStr">
        <is>
          <t>SOLCA Núcleo de Quito</t>
        </is>
      </c>
      <c r="F100" t="inlineStr">
        <is>
          <t>Tomógrafo CT 128 cortes</t>
        </is>
      </c>
      <c r="G100" t="inlineStr">
        <is>
          <t>CT</t>
        </is>
      </c>
      <c r="H100" t="inlineStr">
        <is>
          <t>2023-01-30</t>
        </is>
      </c>
      <c r="I100" t="n">
        <v>2023</v>
      </c>
      <c r="J100" t="inlineStr">
        <is>
          <t>Q1</t>
        </is>
      </c>
      <c r="K100" t="inlineStr">
        <is>
          <t>Licitación</t>
        </is>
      </c>
      <c r="L100" t="n">
        <v>513000</v>
      </c>
      <c r="M100" t="inlineStr">
        <is>
          <t>USD</t>
        </is>
      </c>
      <c r="N100" t="inlineStr">
        <is>
          <t>Adjudicado</t>
        </is>
      </c>
      <c r="O100" t="inlineStr">
        <is>
          <t>Philips Healthcare</t>
        </is>
      </c>
      <c r="P100" t="inlineStr">
        <is>
          <t>Incisive CT 128</t>
        </is>
      </c>
      <c r="Q100" t="n">
        <v>3</v>
      </c>
      <c r="R100" t="inlineStr">
        <is>
          <t>Sí</t>
        </is>
      </c>
      <c r="S100" t="inlineStr">
        <is>
          <t>No</t>
        </is>
      </c>
      <c r="U100" t="n">
        <v>128</v>
      </c>
    </row>
    <row r="101">
      <c r="A101" t="inlineStr">
        <is>
          <t>LP-0030-2023-SEACE</t>
        </is>
      </c>
      <c r="B101" t="inlineStr">
        <is>
          <t>Perú</t>
        </is>
      </c>
      <c r="C101" t="inlineStr">
        <is>
          <t>SEACE</t>
        </is>
      </c>
      <c r="D101" t="inlineStr">
        <is>
          <t>Piura</t>
        </is>
      </c>
      <c r="E101" t="inlineStr">
        <is>
          <t>Hospital Nacional Alberto Sabogal Sologuren (EsSalud)</t>
        </is>
      </c>
      <c r="F101" t="inlineStr">
        <is>
          <t>Resonancia Magnética 1.5T</t>
        </is>
      </c>
      <c r="G101" t="inlineStr">
        <is>
          <t>MR</t>
        </is>
      </c>
      <c r="H101" t="inlineStr">
        <is>
          <t>2023-02-07</t>
        </is>
      </c>
      <c r="I101" t="n">
        <v>2023</v>
      </c>
      <c r="J101" t="inlineStr">
        <is>
          <t>Q1</t>
        </is>
      </c>
      <c r="K101" t="inlineStr">
        <is>
          <t>Concurso Público</t>
        </is>
      </c>
      <c r="L101" t="n">
        <v>1072000</v>
      </c>
      <c r="M101" t="inlineStr">
        <is>
          <t>USD</t>
        </is>
      </c>
      <c r="N101" t="inlineStr">
        <is>
          <t>Adjudicado</t>
        </is>
      </c>
      <c r="O101" t="inlineStr">
        <is>
          <t>Siemens Healthineers</t>
        </is>
      </c>
      <c r="P101" t="inlineStr">
        <is>
          <t>MAGNETOM Sola</t>
        </is>
      </c>
      <c r="Q101" t="n">
        <v>2</v>
      </c>
      <c r="R101" t="inlineStr">
        <is>
          <t>No</t>
        </is>
      </c>
      <c r="S101" t="inlineStr">
        <is>
          <t>No</t>
        </is>
      </c>
      <c r="T101" t="n">
        <v>1.5</v>
      </c>
    </row>
    <row r="102">
      <c r="A102" t="inlineStr">
        <is>
          <t>LP-0082-2023-SEACE</t>
        </is>
      </c>
      <c r="B102" t="inlineStr">
        <is>
          <t>Perú</t>
        </is>
      </c>
      <c r="C102" t="inlineStr">
        <is>
          <t>SEACE</t>
        </is>
      </c>
      <c r="D102" t="inlineStr">
        <is>
          <t>Ica</t>
        </is>
      </c>
      <c r="E102" t="inlineStr">
        <is>
          <t>Hospital Regional de Lambayeque</t>
        </is>
      </c>
      <c r="F102" t="inlineStr">
        <is>
          <t>Tomógrafo CT 64 cortes</t>
        </is>
      </c>
      <c r="G102" t="inlineStr">
        <is>
          <t>CT</t>
        </is>
      </c>
      <c r="H102" t="inlineStr">
        <is>
          <t>2023-03-04</t>
        </is>
      </c>
      <c r="I102" t="n">
        <v>2023</v>
      </c>
      <c r="J102" t="inlineStr">
        <is>
          <t>Q1</t>
        </is>
      </c>
      <c r="K102" t="inlineStr">
        <is>
          <t>Subasta Inversa Electrónica</t>
        </is>
      </c>
      <c r="L102" t="n">
        <v>390000</v>
      </c>
      <c r="M102" t="inlineStr">
        <is>
          <t>USD</t>
        </is>
      </c>
      <c r="N102" t="inlineStr">
        <is>
          <t>Adjudicado</t>
        </is>
      </c>
      <c r="O102" t="inlineStr">
        <is>
          <t>Philips Healthcare</t>
        </is>
      </c>
      <c r="P102" t="inlineStr">
        <is>
          <t>Incisive CT</t>
        </is>
      </c>
      <c r="Q102" t="n">
        <v>2</v>
      </c>
      <c r="R102" t="inlineStr">
        <is>
          <t>Sí</t>
        </is>
      </c>
      <c r="S102" t="inlineStr">
        <is>
          <t>No</t>
        </is>
      </c>
      <c r="U102" t="n">
        <v>64</v>
      </c>
    </row>
    <row r="103">
      <c r="A103" t="inlineStr">
        <is>
          <t>LP-0066-2023-SEACE</t>
        </is>
      </c>
      <c r="B103" t="inlineStr">
        <is>
          <t>Perú</t>
        </is>
      </c>
      <c r="C103" t="inlineStr">
        <is>
          <t>SEACE</t>
        </is>
      </c>
      <c r="D103" t="inlineStr">
        <is>
          <t>Lambayeque</t>
        </is>
      </c>
      <c r="E103" t="inlineStr">
        <is>
          <t>Hospital Nacional Alberto Sabogal Sologuren (EsSalud)</t>
        </is>
      </c>
      <c r="F103" t="inlineStr">
        <is>
          <t>Tomógrafo CT 128 cortes</t>
        </is>
      </c>
      <c r="G103" t="inlineStr">
        <is>
          <t>CT</t>
        </is>
      </c>
      <c r="H103" t="inlineStr">
        <is>
          <t>2023-03-10</t>
        </is>
      </c>
      <c r="I103" t="n">
        <v>2023</v>
      </c>
      <c r="J103" t="inlineStr">
        <is>
          <t>Q1</t>
        </is>
      </c>
      <c r="K103" t="inlineStr">
        <is>
          <t>Licitación Pública</t>
        </is>
      </c>
      <c r="L103" t="n">
        <v>651000</v>
      </c>
      <c r="M103" t="inlineStr">
        <is>
          <t>USD</t>
        </is>
      </c>
      <c r="N103" t="inlineStr">
        <is>
          <t>Adjudicado</t>
        </is>
      </c>
      <c r="O103" t="inlineStr">
        <is>
          <t>Siemens Healthineers</t>
        </is>
      </c>
      <c r="P103" t="inlineStr">
        <is>
          <t>SOMATOM go.Top</t>
        </is>
      </c>
      <c r="Q103" t="n">
        <v>3</v>
      </c>
      <c r="R103" t="inlineStr">
        <is>
          <t>Sí</t>
        </is>
      </c>
      <c r="S103" t="inlineStr">
        <is>
          <t>Sí</t>
        </is>
      </c>
      <c r="U103" t="n">
        <v>128</v>
      </c>
    </row>
    <row r="104">
      <c r="A104" t="inlineStr">
        <is>
          <t>SIE-0018-2023-SERCOP</t>
        </is>
      </c>
      <c r="B104" t="inlineStr">
        <is>
          <t>Ecuador</t>
        </is>
      </c>
      <c r="C104" t="inlineStr">
        <is>
          <t>SERCOP</t>
        </is>
      </c>
      <c r="D104" t="inlineStr">
        <is>
          <t>Tungurahua</t>
        </is>
      </c>
      <c r="E104" t="inlineStr">
        <is>
          <t>Hospital General IESS Riobamba</t>
        </is>
      </c>
      <c r="F104" t="inlineStr">
        <is>
          <t>Tomógrafo CT 64 cortes</t>
        </is>
      </c>
      <c r="G104" t="inlineStr">
        <is>
          <t>CT</t>
        </is>
      </c>
      <c r="H104" t="inlineStr">
        <is>
          <t>2023-03-13</t>
        </is>
      </c>
      <c r="I104" t="n">
        <v>2023</v>
      </c>
      <c r="J104" t="inlineStr">
        <is>
          <t>Q1</t>
        </is>
      </c>
      <c r="K104" t="inlineStr">
        <is>
          <t>Cotización</t>
        </is>
      </c>
      <c r="L104" t="n">
        <v>406000</v>
      </c>
      <c r="M104" t="inlineStr">
        <is>
          <t>USD</t>
        </is>
      </c>
      <c r="N104" t="inlineStr">
        <is>
          <t>Adjudicado</t>
        </is>
      </c>
      <c r="O104" t="inlineStr">
        <is>
          <t>GE Healthcare</t>
        </is>
      </c>
      <c r="P104" t="inlineStr">
        <is>
          <t>Revolution EVO</t>
        </is>
      </c>
      <c r="Q104" t="n">
        <v>2</v>
      </c>
      <c r="R104" t="inlineStr">
        <is>
          <t>Sí</t>
        </is>
      </c>
      <c r="S104" t="inlineStr">
        <is>
          <t>No</t>
        </is>
      </c>
      <c r="U104" t="n">
        <v>64</v>
      </c>
    </row>
    <row r="105">
      <c r="A105" t="inlineStr">
        <is>
          <t>SIE-0039-2023-SERCOP</t>
        </is>
      </c>
      <c r="B105" t="inlineStr">
        <is>
          <t>Ecuador</t>
        </is>
      </c>
      <c r="C105" t="inlineStr">
        <is>
          <t>SERCOP</t>
        </is>
      </c>
      <c r="D105" t="inlineStr">
        <is>
          <t>Guayas</t>
        </is>
      </c>
      <c r="E105" t="inlineStr">
        <is>
          <t>Hospital Metropolitano (privado)</t>
        </is>
      </c>
      <c r="F105" t="inlineStr">
        <is>
          <t>Tomógrafo CT 128 cortes</t>
        </is>
      </c>
      <c r="G105" t="inlineStr">
        <is>
          <t>CT</t>
        </is>
      </c>
      <c r="H105" t="inlineStr">
        <is>
          <t>2023-03-15</t>
        </is>
      </c>
      <c r="I105" t="n">
        <v>2023</v>
      </c>
      <c r="J105" t="inlineStr">
        <is>
          <t>Q1</t>
        </is>
      </c>
      <c r="K105" t="inlineStr">
        <is>
          <t>Licitación</t>
        </is>
      </c>
      <c r="L105" t="n">
        <v>679000</v>
      </c>
      <c r="M105" t="inlineStr">
        <is>
          <t>USD</t>
        </is>
      </c>
      <c r="N105" t="inlineStr">
        <is>
          <t>Adjudicado</t>
        </is>
      </c>
      <c r="O105" t="inlineStr">
        <is>
          <t>Siemens Healthineers</t>
        </is>
      </c>
      <c r="P105" t="inlineStr">
        <is>
          <t>SOMATOM go.Top</t>
        </is>
      </c>
      <c r="Q105" t="n">
        <v>2</v>
      </c>
      <c r="R105" t="inlineStr">
        <is>
          <t>Sí</t>
        </is>
      </c>
      <c r="S105" t="inlineStr">
        <is>
          <t>No</t>
        </is>
      </c>
      <c r="U105" t="n">
        <v>128</v>
      </c>
    </row>
    <row r="106">
      <c r="A106" t="inlineStr">
        <is>
          <t>LP-0047-2023-SEACE</t>
        </is>
      </c>
      <c r="B106" t="inlineStr">
        <is>
          <t>Perú</t>
        </is>
      </c>
      <c r="C106" t="inlineStr">
        <is>
          <t>SEACE</t>
        </is>
      </c>
      <c r="D106" t="inlineStr">
        <is>
          <t>Piura</t>
        </is>
      </c>
      <c r="E106" t="inlineStr">
        <is>
          <t>Gobierno Regional de Piura - Gerencia Regional de Salud</t>
        </is>
      </c>
      <c r="F106" t="inlineStr">
        <is>
          <t>Tomógrafo CT 64 cortes</t>
        </is>
      </c>
      <c r="G106" t="inlineStr">
        <is>
          <t>CT</t>
        </is>
      </c>
      <c r="H106" t="inlineStr">
        <is>
          <t>2023-03-16</t>
        </is>
      </c>
      <c r="I106" t="n">
        <v>2023</v>
      </c>
      <c r="J106" t="inlineStr">
        <is>
          <t>Q1</t>
        </is>
      </c>
      <c r="K106" t="inlineStr">
        <is>
          <t>Licitación Pública</t>
        </is>
      </c>
      <c r="L106" t="n">
        <v>275000</v>
      </c>
      <c r="M106" t="inlineStr">
        <is>
          <t>USD</t>
        </is>
      </c>
      <c r="N106" t="inlineStr">
        <is>
          <t>Adjudicado</t>
        </is>
      </c>
      <c r="O106" t="inlineStr">
        <is>
          <t>Canon Medical</t>
        </is>
      </c>
      <c r="P106" t="inlineStr">
        <is>
          <t>Aquilion Lightning</t>
        </is>
      </c>
      <c r="Q106" t="n">
        <v>2</v>
      </c>
      <c r="R106" t="inlineStr">
        <is>
          <t>Sí</t>
        </is>
      </c>
      <c r="S106" t="inlineStr">
        <is>
          <t>Sí</t>
        </is>
      </c>
      <c r="U106" t="n">
        <v>64</v>
      </c>
    </row>
    <row r="107">
      <c r="A107" t="inlineStr">
        <is>
          <t>SIE-0023-2023-SERCOP</t>
        </is>
      </c>
      <c r="B107" t="inlineStr">
        <is>
          <t>Ecuador</t>
        </is>
      </c>
      <c r="C107" t="inlineStr">
        <is>
          <t>SERCOP</t>
        </is>
      </c>
      <c r="D107" t="inlineStr">
        <is>
          <t>Guayas</t>
        </is>
      </c>
      <c r="E107" t="inlineStr">
        <is>
          <t>Hospital del IESS Ceibos</t>
        </is>
      </c>
      <c r="F107" t="inlineStr">
        <is>
          <t>Tomógrafo CT 64 cortes</t>
        </is>
      </c>
      <c r="G107" t="inlineStr">
        <is>
          <t>CT</t>
        </is>
      </c>
      <c r="H107" t="inlineStr">
        <is>
          <t>2023-03-21</t>
        </is>
      </c>
      <c r="I107" t="n">
        <v>2023</v>
      </c>
      <c r="J107" t="inlineStr">
        <is>
          <t>Q1</t>
        </is>
      </c>
      <c r="K107" t="inlineStr">
        <is>
          <t>Subasta Inversa Electrónica</t>
        </is>
      </c>
      <c r="L107" t="n">
        <v>289000</v>
      </c>
      <c r="M107" t="inlineStr">
        <is>
          <t>USD</t>
        </is>
      </c>
      <c r="N107" t="inlineStr">
        <is>
          <t>Desierto</t>
        </is>
      </c>
      <c r="Q107" t="n">
        <v>0</v>
      </c>
      <c r="R107" t="inlineStr">
        <is>
          <t>Sí</t>
        </is>
      </c>
      <c r="S107" t="inlineStr">
        <is>
          <t>Sí</t>
        </is>
      </c>
      <c r="U107" t="n">
        <v>64</v>
      </c>
    </row>
    <row r="108">
      <c r="A108" t="inlineStr">
        <is>
          <t>SIE-0009-2023-SERCOP</t>
        </is>
      </c>
      <c r="B108" t="inlineStr">
        <is>
          <t>Ecuador</t>
        </is>
      </c>
      <c r="C108" t="inlineStr">
        <is>
          <t>SERCOP</t>
        </is>
      </c>
      <c r="D108" t="inlineStr">
        <is>
          <t>Tungurahua</t>
        </is>
      </c>
      <c r="E108" t="inlineStr">
        <is>
          <t>Hospital Carlos Andrade Marín (IESS)</t>
        </is>
      </c>
      <c r="F108" t="inlineStr">
        <is>
          <t>Resonancia Magnética 1.5T</t>
        </is>
      </c>
      <c r="G108" t="inlineStr">
        <is>
          <t>MR</t>
        </is>
      </c>
      <c r="H108" t="inlineStr">
        <is>
          <t>2023-03-21</t>
        </is>
      </c>
      <c r="I108" t="n">
        <v>2023</v>
      </c>
      <c r="J108" t="inlineStr">
        <is>
          <t>Q1</t>
        </is>
      </c>
      <c r="K108" t="inlineStr">
        <is>
          <t>Subasta Inversa Electrónica</t>
        </is>
      </c>
      <c r="L108" t="n">
        <v>979000</v>
      </c>
      <c r="M108" t="inlineStr">
        <is>
          <t>USD</t>
        </is>
      </c>
      <c r="N108" t="inlineStr">
        <is>
          <t>Adjudicado</t>
        </is>
      </c>
      <c r="O108" t="inlineStr">
        <is>
          <t>Siemens Healthineers</t>
        </is>
      </c>
      <c r="P108" t="inlineStr">
        <is>
          <t>MAGNETOM Sola</t>
        </is>
      </c>
      <c r="Q108" t="n">
        <v>4</v>
      </c>
      <c r="R108" t="inlineStr">
        <is>
          <t>No</t>
        </is>
      </c>
      <c r="S108" t="inlineStr">
        <is>
          <t>Sí</t>
        </is>
      </c>
      <c r="T108" t="n">
        <v>1.5</v>
      </c>
    </row>
    <row r="109">
      <c r="A109" t="inlineStr">
        <is>
          <t>SIE-0055-2023-SERCOP</t>
        </is>
      </c>
      <c r="B109" t="inlineStr">
        <is>
          <t>Ecuador</t>
        </is>
      </c>
      <c r="C109" t="inlineStr">
        <is>
          <t>SERCOP</t>
        </is>
      </c>
      <c r="D109" t="inlineStr">
        <is>
          <t>Azuay</t>
        </is>
      </c>
      <c r="E109" t="inlineStr">
        <is>
          <t>Hospital General IESS Riobamba</t>
        </is>
      </c>
      <c r="F109" t="inlineStr">
        <is>
          <t>Resonancia Magnética 1.5T</t>
        </is>
      </c>
      <c r="G109" t="inlineStr">
        <is>
          <t>MR</t>
        </is>
      </c>
      <c r="H109" t="inlineStr">
        <is>
          <t>2023-03-28</t>
        </is>
      </c>
      <c r="I109" t="n">
        <v>2023</v>
      </c>
      <c r="J109" t="inlineStr">
        <is>
          <t>Q1</t>
        </is>
      </c>
      <c r="K109" t="inlineStr">
        <is>
          <t>Menor Cuantía</t>
        </is>
      </c>
      <c r="L109" t="n">
        <v>909000</v>
      </c>
      <c r="M109" t="inlineStr">
        <is>
          <t>USD</t>
        </is>
      </c>
      <c r="N109" t="inlineStr">
        <is>
          <t>Adjudicado</t>
        </is>
      </c>
      <c r="O109" t="inlineStr">
        <is>
          <t>GE Healthcare</t>
        </is>
      </c>
      <c r="P109" t="inlineStr">
        <is>
          <t>SIGNA Artist</t>
        </is>
      </c>
      <c r="Q109" t="n">
        <v>1</v>
      </c>
      <c r="R109" t="inlineStr">
        <is>
          <t>Sí</t>
        </is>
      </c>
      <c r="S109" t="inlineStr">
        <is>
          <t>Sí</t>
        </is>
      </c>
      <c r="T109" t="n">
        <v>1.5</v>
      </c>
    </row>
    <row r="110">
      <c r="A110" t="inlineStr">
        <is>
          <t>SIE-0048-2023-SERCOP</t>
        </is>
      </c>
      <c r="B110" t="inlineStr">
        <is>
          <t>Ecuador</t>
        </is>
      </c>
      <c r="C110" t="inlineStr">
        <is>
          <t>SERCOP</t>
        </is>
      </c>
      <c r="D110" t="inlineStr">
        <is>
          <t>Guayas</t>
        </is>
      </c>
      <c r="E110" t="inlineStr">
        <is>
          <t>Hospital General IESS Riobamba</t>
        </is>
      </c>
      <c r="F110" t="inlineStr">
        <is>
          <t>Tomógrafo CT 256 cortes</t>
        </is>
      </c>
      <c r="G110" t="inlineStr">
        <is>
          <t>CT</t>
        </is>
      </c>
      <c r="H110" t="inlineStr">
        <is>
          <t>2023-04-01</t>
        </is>
      </c>
      <c r="I110" t="n">
        <v>2023</v>
      </c>
      <c r="J110" t="inlineStr">
        <is>
          <t>Q2</t>
        </is>
      </c>
      <c r="K110" t="inlineStr">
        <is>
          <t>Cotización</t>
        </is>
      </c>
      <c r="L110" t="n">
        <v>728000</v>
      </c>
      <c r="M110" t="inlineStr">
        <is>
          <t>USD</t>
        </is>
      </c>
      <c r="N110" t="inlineStr">
        <is>
          <t>Adjudicado</t>
        </is>
      </c>
      <c r="O110" t="inlineStr">
        <is>
          <t>Philips Healthcare</t>
        </is>
      </c>
      <c r="P110" t="inlineStr">
        <is>
          <t>IQon Spectral CT</t>
        </is>
      </c>
      <c r="Q110" t="n">
        <v>4</v>
      </c>
      <c r="R110" t="inlineStr">
        <is>
          <t>Sí</t>
        </is>
      </c>
      <c r="S110" t="inlineStr">
        <is>
          <t>No</t>
        </is>
      </c>
      <c r="U110" t="n">
        <v>256</v>
      </c>
    </row>
    <row r="111">
      <c r="A111" t="inlineStr">
        <is>
          <t>SIE-0058-2023-SERCOP</t>
        </is>
      </c>
      <c r="B111" t="inlineStr">
        <is>
          <t>Ecuador</t>
        </is>
      </c>
      <c r="C111" t="inlineStr">
        <is>
          <t>SERCOP</t>
        </is>
      </c>
      <c r="D111" t="inlineStr">
        <is>
          <t>Azuay</t>
        </is>
      </c>
      <c r="E111" t="inlineStr">
        <is>
          <t>SOLCA Núcleo de Quito</t>
        </is>
      </c>
      <c r="F111" t="inlineStr">
        <is>
          <t>Resonancia Magnética 3T</t>
        </is>
      </c>
      <c r="G111" t="inlineStr">
        <is>
          <t>MR</t>
        </is>
      </c>
      <c r="H111" t="inlineStr">
        <is>
          <t>2023-05-10</t>
        </is>
      </c>
      <c r="I111" t="n">
        <v>2023</v>
      </c>
      <c r="J111" t="inlineStr">
        <is>
          <t>Q2</t>
        </is>
      </c>
      <c r="K111" t="inlineStr">
        <is>
          <t>Subasta Inversa Electrónica</t>
        </is>
      </c>
      <c r="L111" t="n">
        <v>2093000</v>
      </c>
      <c r="M111" t="inlineStr">
        <is>
          <t>USD</t>
        </is>
      </c>
      <c r="N111" t="inlineStr">
        <is>
          <t>Adjudicado</t>
        </is>
      </c>
      <c r="O111" t="inlineStr">
        <is>
          <t>GE Healthcare</t>
        </is>
      </c>
      <c r="P111" t="inlineStr">
        <is>
          <t>SIGNA Premier</t>
        </is>
      </c>
      <c r="Q111" t="n">
        <v>3</v>
      </c>
      <c r="R111" t="inlineStr">
        <is>
          <t>Sí</t>
        </is>
      </c>
      <c r="S111" t="inlineStr">
        <is>
          <t>Sí</t>
        </is>
      </c>
      <c r="T111" t="n">
        <v>3</v>
      </c>
    </row>
    <row r="112">
      <c r="A112" t="inlineStr">
        <is>
          <t>LP-0028-2023-SEACE</t>
        </is>
      </c>
      <c r="B112" t="inlineStr">
        <is>
          <t>Perú</t>
        </is>
      </c>
      <c r="C112" t="inlineStr">
        <is>
          <t>SEACE</t>
        </is>
      </c>
      <c r="D112" t="inlineStr">
        <is>
          <t>Lima</t>
        </is>
      </c>
      <c r="E112" t="inlineStr">
        <is>
          <t>Hospital Nacional Alberto Sabogal Sologuren (EsSalud)</t>
        </is>
      </c>
      <c r="F112" t="inlineStr">
        <is>
          <t>Tomógrafo CT 256 cortes</t>
        </is>
      </c>
      <c r="G112" t="inlineStr">
        <is>
          <t>CT</t>
        </is>
      </c>
      <c r="H112" t="inlineStr">
        <is>
          <t>2023-05-11</t>
        </is>
      </c>
      <c r="I112" t="n">
        <v>2023</v>
      </c>
      <c r="J112" t="inlineStr">
        <is>
          <t>Q2</t>
        </is>
      </c>
      <c r="K112" t="inlineStr">
        <is>
          <t>Concurso Público</t>
        </is>
      </c>
      <c r="L112" t="n">
        <v>852000</v>
      </c>
      <c r="M112" t="inlineStr">
        <is>
          <t>USD</t>
        </is>
      </c>
      <c r="N112" t="inlineStr">
        <is>
          <t>Desierto</t>
        </is>
      </c>
      <c r="Q112" t="n">
        <v>0</v>
      </c>
      <c r="R112" t="inlineStr">
        <is>
          <t>Sí</t>
        </is>
      </c>
      <c r="S112" t="inlineStr">
        <is>
          <t>Sí</t>
        </is>
      </c>
      <c r="U112" t="n">
        <v>256</v>
      </c>
    </row>
    <row r="113">
      <c r="A113" t="inlineStr">
        <is>
          <t>LP-0026-2023-SEACE</t>
        </is>
      </c>
      <c r="B113" t="inlineStr">
        <is>
          <t>Perú</t>
        </is>
      </c>
      <c r="C113" t="inlineStr">
        <is>
          <t>SEACE</t>
        </is>
      </c>
      <c r="D113" t="inlineStr">
        <is>
          <t>Lima</t>
        </is>
      </c>
      <c r="E113" t="inlineStr">
        <is>
          <t>Hospital de la Solidaridad (SISOL)</t>
        </is>
      </c>
      <c r="F113" t="inlineStr">
        <is>
          <t>Resonancia Magnética 3T</t>
        </is>
      </c>
      <c r="G113" t="inlineStr">
        <is>
          <t>MR</t>
        </is>
      </c>
      <c r="H113" t="inlineStr">
        <is>
          <t>2023-05-13</t>
        </is>
      </c>
      <c r="I113" t="n">
        <v>2023</v>
      </c>
      <c r="J113" t="inlineStr">
        <is>
          <t>Q2</t>
        </is>
      </c>
      <c r="K113" t="inlineStr">
        <is>
          <t>Licitación Pública</t>
        </is>
      </c>
      <c r="L113" t="n">
        <v>1647000</v>
      </c>
      <c r="M113" t="inlineStr">
        <is>
          <t>USD</t>
        </is>
      </c>
      <c r="N113" t="inlineStr">
        <is>
          <t>Adjudicado</t>
        </is>
      </c>
      <c r="O113" t="inlineStr">
        <is>
          <t>GE Healthcare</t>
        </is>
      </c>
      <c r="P113" t="inlineStr">
        <is>
          <t>SIGNA Premier</t>
        </is>
      </c>
      <c r="Q113" t="n">
        <v>1</v>
      </c>
      <c r="R113" t="inlineStr">
        <is>
          <t>No</t>
        </is>
      </c>
      <c r="S113" t="inlineStr">
        <is>
          <t>Sí</t>
        </is>
      </c>
      <c r="T113" t="n">
        <v>3</v>
      </c>
    </row>
    <row r="114">
      <c r="A114" t="inlineStr">
        <is>
          <t>LP-0014-2023-SEACE</t>
        </is>
      </c>
      <c r="B114" t="inlineStr">
        <is>
          <t>Perú</t>
        </is>
      </c>
      <c r="C114" t="inlineStr">
        <is>
          <t>SEACE</t>
        </is>
      </c>
      <c r="D114" t="inlineStr">
        <is>
          <t>Arequipa</t>
        </is>
      </c>
      <c r="E114" t="inlineStr">
        <is>
          <t>Clínica Ricardo Palma S.A.</t>
        </is>
      </c>
      <c r="F114" t="inlineStr">
        <is>
          <t>Resonancia Magnética 1.5T</t>
        </is>
      </c>
      <c r="G114" t="inlineStr">
        <is>
          <t>MR</t>
        </is>
      </c>
      <c r="H114" t="inlineStr">
        <is>
          <t>2023-06-13</t>
        </is>
      </c>
      <c r="I114" t="n">
        <v>2023</v>
      </c>
      <c r="J114" t="inlineStr">
        <is>
          <t>Q2</t>
        </is>
      </c>
      <c r="K114" t="inlineStr">
        <is>
          <t>Licitación Pública</t>
        </is>
      </c>
      <c r="L114" t="n">
        <v>1175000</v>
      </c>
      <c r="M114" t="inlineStr">
        <is>
          <t>USD</t>
        </is>
      </c>
      <c r="N114" t="inlineStr">
        <is>
          <t>Adjudicado</t>
        </is>
      </c>
      <c r="O114" t="inlineStr">
        <is>
          <t>Siemens Healthineers</t>
        </is>
      </c>
      <c r="P114" t="inlineStr">
        <is>
          <t>MAGNETOM Sola</t>
        </is>
      </c>
      <c r="Q114" t="n">
        <v>1</v>
      </c>
      <c r="R114" t="inlineStr">
        <is>
          <t>No</t>
        </is>
      </c>
      <c r="S114" t="inlineStr">
        <is>
          <t>No</t>
        </is>
      </c>
      <c r="T114" t="n">
        <v>1.5</v>
      </c>
    </row>
    <row r="115">
      <c r="A115" t="inlineStr">
        <is>
          <t>SIE-0015-2023-SERCOP</t>
        </is>
      </c>
      <c r="B115" t="inlineStr">
        <is>
          <t>Ecuador</t>
        </is>
      </c>
      <c r="C115" t="inlineStr">
        <is>
          <t>SERCOP</t>
        </is>
      </c>
      <c r="D115" t="inlineStr">
        <is>
          <t>Pichincha</t>
        </is>
      </c>
      <c r="E115" t="inlineStr">
        <is>
          <t>Ministerio de Salud Pública - Hospital Eugenio Espejo</t>
        </is>
      </c>
      <c r="F115" t="inlineStr">
        <is>
          <t>Tomógrafo CT 256 cortes</t>
        </is>
      </c>
      <c r="G115" t="inlineStr">
        <is>
          <t>CT</t>
        </is>
      </c>
      <c r="H115" t="inlineStr">
        <is>
          <t>2023-06-19</t>
        </is>
      </c>
      <c r="I115" t="n">
        <v>2023</v>
      </c>
      <c r="J115" t="inlineStr">
        <is>
          <t>Q2</t>
        </is>
      </c>
      <c r="K115" t="inlineStr">
        <is>
          <t>Subasta Inversa Electrónica</t>
        </is>
      </c>
      <c r="L115" t="n">
        <v>685000</v>
      </c>
      <c r="M115" t="inlineStr">
        <is>
          <t>USD</t>
        </is>
      </c>
      <c r="N115" t="inlineStr">
        <is>
          <t>Adjudicado</t>
        </is>
      </c>
      <c r="O115" t="inlineStr">
        <is>
          <t>GE Healthcare</t>
        </is>
      </c>
      <c r="P115" t="inlineStr">
        <is>
          <t>Revolution HD</t>
        </is>
      </c>
      <c r="Q115" t="n">
        <v>2</v>
      </c>
      <c r="R115" t="inlineStr">
        <is>
          <t>Sí</t>
        </is>
      </c>
      <c r="S115" t="inlineStr">
        <is>
          <t>Sí</t>
        </is>
      </c>
      <c r="U115" t="n">
        <v>256</v>
      </c>
    </row>
    <row r="116">
      <c r="A116" t="inlineStr">
        <is>
          <t>LP-0116-2023-SEACE</t>
        </is>
      </c>
      <c r="B116" t="inlineStr">
        <is>
          <t>Perú</t>
        </is>
      </c>
      <c r="C116" t="inlineStr">
        <is>
          <t>SEACE</t>
        </is>
      </c>
      <c r="D116" t="inlineStr">
        <is>
          <t>Piura</t>
        </is>
      </c>
      <c r="E116" t="inlineStr">
        <is>
          <t>Hospital Nacional Alberto Sabogal Sologuren (EsSalud)</t>
        </is>
      </c>
      <c r="F116" t="inlineStr">
        <is>
          <t>Resonancia Magnética 1.5T</t>
        </is>
      </c>
      <c r="G116" t="inlineStr">
        <is>
          <t>MR</t>
        </is>
      </c>
      <c r="H116" t="inlineStr">
        <is>
          <t>2023-06-19</t>
        </is>
      </c>
      <c r="I116" t="n">
        <v>2023</v>
      </c>
      <c r="J116" t="inlineStr">
        <is>
          <t>Q2</t>
        </is>
      </c>
      <c r="K116" t="inlineStr">
        <is>
          <t>Adjudicación Simplificada</t>
        </is>
      </c>
      <c r="L116" t="n">
        <v>882000</v>
      </c>
      <c r="M116" t="inlineStr">
        <is>
          <t>USD</t>
        </is>
      </c>
      <c r="N116" t="inlineStr">
        <is>
          <t>Desierto</t>
        </is>
      </c>
      <c r="Q116" t="n">
        <v>0</v>
      </c>
      <c r="R116" t="inlineStr">
        <is>
          <t>No</t>
        </is>
      </c>
      <c r="S116" t="inlineStr">
        <is>
          <t>No</t>
        </is>
      </c>
      <c r="T116" t="n">
        <v>1.5</v>
      </c>
    </row>
    <row r="117">
      <c r="A117" t="inlineStr">
        <is>
          <t>LP-0077-2023-SEACE</t>
        </is>
      </c>
      <c r="B117" t="inlineStr">
        <is>
          <t>Perú</t>
        </is>
      </c>
      <c r="C117" t="inlineStr">
        <is>
          <t>SEACE</t>
        </is>
      </c>
      <c r="D117" t="inlineStr">
        <is>
          <t>Lima</t>
        </is>
      </c>
      <c r="E117" t="inlineStr">
        <is>
          <t>Hospital Nacional Cayetano Heredia (MINSA)</t>
        </is>
      </c>
      <c r="F117" t="inlineStr">
        <is>
          <t>Tomógrafo CT 256 cortes</t>
        </is>
      </c>
      <c r="G117" t="inlineStr">
        <is>
          <t>CT</t>
        </is>
      </c>
      <c r="H117" t="inlineStr">
        <is>
          <t>2023-07-12</t>
        </is>
      </c>
      <c r="I117" t="n">
        <v>2023</v>
      </c>
      <c r="J117" t="inlineStr">
        <is>
          <t>Q3</t>
        </is>
      </c>
      <c r="K117" t="inlineStr">
        <is>
          <t>Licitación Pública</t>
        </is>
      </c>
      <c r="L117" t="n">
        <v>814000</v>
      </c>
      <c r="M117" t="inlineStr">
        <is>
          <t>USD</t>
        </is>
      </c>
      <c r="N117" t="inlineStr">
        <is>
          <t>Adjudicado</t>
        </is>
      </c>
      <c r="O117" t="inlineStr">
        <is>
          <t>Siemens Healthineers</t>
        </is>
      </c>
      <c r="P117" t="inlineStr">
        <is>
          <t>SOMATOM go.Now</t>
        </is>
      </c>
      <c r="Q117" t="n">
        <v>5</v>
      </c>
      <c r="R117" t="inlineStr">
        <is>
          <t>Sí</t>
        </is>
      </c>
      <c r="S117" t="inlineStr">
        <is>
          <t>No</t>
        </is>
      </c>
      <c r="U117" t="n">
        <v>256</v>
      </c>
    </row>
    <row r="118">
      <c r="A118" t="inlineStr">
        <is>
          <t>SIE-0010-2023-SERCOP</t>
        </is>
      </c>
      <c r="B118" t="inlineStr">
        <is>
          <t>Ecuador</t>
        </is>
      </c>
      <c r="C118" t="inlineStr">
        <is>
          <t>SERCOP</t>
        </is>
      </c>
      <c r="D118" t="inlineStr">
        <is>
          <t>Azuay</t>
        </is>
      </c>
      <c r="E118" t="inlineStr">
        <is>
          <t>Hospital del IESS Ceibos</t>
        </is>
      </c>
      <c r="F118" t="inlineStr">
        <is>
          <t>Tomógrafo CT 128 cortes</t>
        </is>
      </c>
      <c r="G118" t="inlineStr">
        <is>
          <t>CT</t>
        </is>
      </c>
      <c r="H118" t="inlineStr">
        <is>
          <t>2023-08-09</t>
        </is>
      </c>
      <c r="I118" t="n">
        <v>2023</v>
      </c>
      <c r="J118" t="inlineStr">
        <is>
          <t>Q3</t>
        </is>
      </c>
      <c r="K118" t="inlineStr">
        <is>
          <t>Licitación</t>
        </is>
      </c>
      <c r="L118" t="n">
        <v>592000</v>
      </c>
      <c r="M118" t="inlineStr">
        <is>
          <t>USD</t>
        </is>
      </c>
      <c r="N118" t="inlineStr">
        <is>
          <t>Adjudicado</t>
        </is>
      </c>
      <c r="O118" t="inlineStr">
        <is>
          <t>Philips Healthcare</t>
        </is>
      </c>
      <c r="P118" t="inlineStr">
        <is>
          <t>Incisive CT 128</t>
        </is>
      </c>
      <c r="Q118" t="n">
        <v>4</v>
      </c>
      <c r="R118" t="inlineStr">
        <is>
          <t>Sí</t>
        </is>
      </c>
      <c r="S118" t="inlineStr">
        <is>
          <t>No</t>
        </is>
      </c>
      <c r="U118" t="n">
        <v>128</v>
      </c>
    </row>
    <row r="119">
      <c r="A119" t="inlineStr">
        <is>
          <t>LP-0041-2023-SEACE</t>
        </is>
      </c>
      <c r="B119" t="inlineStr">
        <is>
          <t>Perú</t>
        </is>
      </c>
      <c r="C119" t="inlineStr">
        <is>
          <t>SEACE</t>
        </is>
      </c>
      <c r="D119" t="inlineStr">
        <is>
          <t>Lambayeque</t>
        </is>
      </c>
      <c r="E119" t="inlineStr">
        <is>
          <t>Hospital Nacional Arzobispo Loayza (MINSA)</t>
        </is>
      </c>
      <c r="F119" t="inlineStr">
        <is>
          <t>Tomógrafo CT 64 cortes</t>
        </is>
      </c>
      <c r="G119" t="inlineStr">
        <is>
          <t>CT</t>
        </is>
      </c>
      <c r="H119" t="inlineStr">
        <is>
          <t>2023-08-12</t>
        </is>
      </c>
      <c r="I119" t="n">
        <v>2023</v>
      </c>
      <c r="J119" t="inlineStr">
        <is>
          <t>Q3</t>
        </is>
      </c>
      <c r="K119" t="inlineStr">
        <is>
          <t>Subasta Inversa Electrónica</t>
        </is>
      </c>
      <c r="L119" t="n">
        <v>304000</v>
      </c>
      <c r="M119" t="inlineStr">
        <is>
          <t>USD</t>
        </is>
      </c>
      <c r="N119" t="inlineStr">
        <is>
          <t>Adjudicado</t>
        </is>
      </c>
      <c r="O119" t="inlineStr">
        <is>
          <t>Philips Healthcare</t>
        </is>
      </c>
      <c r="P119" t="inlineStr">
        <is>
          <t>Incisive CT</t>
        </is>
      </c>
      <c r="Q119" t="n">
        <v>2</v>
      </c>
      <c r="R119" t="inlineStr">
        <is>
          <t>No</t>
        </is>
      </c>
      <c r="S119" t="inlineStr">
        <is>
          <t>Sí</t>
        </is>
      </c>
      <c r="U119" t="n">
        <v>64</v>
      </c>
    </row>
    <row r="120">
      <c r="A120" t="inlineStr">
        <is>
          <t>SIE-0007-2023-SERCOP</t>
        </is>
      </c>
      <c r="B120" t="inlineStr">
        <is>
          <t>Ecuador</t>
        </is>
      </c>
      <c r="C120" t="inlineStr">
        <is>
          <t>SERCOP</t>
        </is>
      </c>
      <c r="D120" t="inlineStr">
        <is>
          <t>Manabí</t>
        </is>
      </c>
      <c r="E120" t="inlineStr">
        <is>
          <t>Ministerio de Salud Pública - Hospital Eugenio Espejo</t>
        </is>
      </c>
      <c r="F120" t="inlineStr">
        <is>
          <t>Tomógrafo CT 256 cortes</t>
        </is>
      </c>
      <c r="G120" t="inlineStr">
        <is>
          <t>CT</t>
        </is>
      </c>
      <c r="H120" t="inlineStr">
        <is>
          <t>2023-08-16</t>
        </is>
      </c>
      <c r="I120" t="n">
        <v>2023</v>
      </c>
      <c r="J120" t="inlineStr">
        <is>
          <t>Q3</t>
        </is>
      </c>
      <c r="K120" t="inlineStr">
        <is>
          <t>Cotización</t>
        </is>
      </c>
      <c r="L120" t="n">
        <v>879000</v>
      </c>
      <c r="M120" t="inlineStr">
        <is>
          <t>USD</t>
        </is>
      </c>
      <c r="N120" t="inlineStr">
        <is>
          <t>Adjudicado</t>
        </is>
      </c>
      <c r="O120" t="inlineStr">
        <is>
          <t>Philips Healthcare</t>
        </is>
      </c>
      <c r="P120" t="inlineStr">
        <is>
          <t>IQon Spectral CT</t>
        </is>
      </c>
      <c r="Q120" t="n">
        <v>4</v>
      </c>
      <c r="R120" t="inlineStr">
        <is>
          <t>Sí</t>
        </is>
      </c>
      <c r="S120" t="inlineStr">
        <is>
          <t>No</t>
        </is>
      </c>
      <c r="U120" t="n">
        <v>256</v>
      </c>
    </row>
    <row r="121">
      <c r="A121" t="inlineStr">
        <is>
          <t>LP-0060-2023-SEACE</t>
        </is>
      </c>
      <c r="B121" t="inlineStr">
        <is>
          <t>Perú</t>
        </is>
      </c>
      <c r="C121" t="inlineStr">
        <is>
          <t>SEACE</t>
        </is>
      </c>
      <c r="D121" t="inlineStr">
        <is>
          <t>Arequipa</t>
        </is>
      </c>
      <c r="E121" t="inlineStr">
        <is>
          <t>Hospital Nacional Carlos Alberto Seguín Escobedo (EsSalud Arequipa)</t>
        </is>
      </c>
      <c r="F121" t="inlineStr">
        <is>
          <t>Tomógrafo CT 64 cortes</t>
        </is>
      </c>
      <c r="G121" t="inlineStr">
        <is>
          <t>CT</t>
        </is>
      </c>
      <c r="H121" t="inlineStr">
        <is>
          <t>2023-08-24</t>
        </is>
      </c>
      <c r="I121" t="n">
        <v>2023</v>
      </c>
      <c r="J121" t="inlineStr">
        <is>
          <t>Q3</t>
        </is>
      </c>
      <c r="K121" t="inlineStr">
        <is>
          <t>Concurso Público</t>
        </is>
      </c>
      <c r="L121" t="n">
        <v>349000</v>
      </c>
      <c r="M121" t="inlineStr">
        <is>
          <t>USD</t>
        </is>
      </c>
      <c r="N121" t="inlineStr">
        <is>
          <t>Adjudicado</t>
        </is>
      </c>
      <c r="O121" t="inlineStr">
        <is>
          <t>Siemens Healthineers</t>
        </is>
      </c>
      <c r="P121" t="inlineStr">
        <is>
          <t>SOMATOM go.Up</t>
        </is>
      </c>
      <c r="Q121" t="n">
        <v>3</v>
      </c>
      <c r="R121" t="inlineStr">
        <is>
          <t>Sí</t>
        </is>
      </c>
      <c r="S121" t="inlineStr">
        <is>
          <t>No</t>
        </is>
      </c>
      <c r="U121" t="n">
        <v>64</v>
      </c>
    </row>
    <row r="122">
      <c r="A122" t="inlineStr">
        <is>
          <t>LP-0099-2023-SEACE</t>
        </is>
      </c>
      <c r="B122" t="inlineStr">
        <is>
          <t>Perú</t>
        </is>
      </c>
      <c r="C122" t="inlineStr">
        <is>
          <t>SEACE</t>
        </is>
      </c>
      <c r="D122" t="inlineStr">
        <is>
          <t>Arequipa</t>
        </is>
      </c>
      <c r="E122" t="inlineStr">
        <is>
          <t>Hospital Nacional Guillermo Almenara Irigoyen (EsSalud)</t>
        </is>
      </c>
      <c r="F122" t="inlineStr">
        <is>
          <t>Tomógrafo CT 128 cortes</t>
        </is>
      </c>
      <c r="G122" t="inlineStr">
        <is>
          <t>CT</t>
        </is>
      </c>
      <c r="H122" t="inlineStr">
        <is>
          <t>2023-09-05</t>
        </is>
      </c>
      <c r="I122" t="n">
        <v>2023</v>
      </c>
      <c r="J122" t="inlineStr">
        <is>
          <t>Q3</t>
        </is>
      </c>
      <c r="K122" t="inlineStr">
        <is>
          <t>Subasta Inversa Electrónica</t>
        </is>
      </c>
      <c r="L122" t="n">
        <v>592000</v>
      </c>
      <c r="M122" t="inlineStr">
        <is>
          <t>USD</t>
        </is>
      </c>
      <c r="N122" t="inlineStr">
        <is>
          <t>Desierto</t>
        </is>
      </c>
      <c r="Q122" t="n">
        <v>0</v>
      </c>
      <c r="R122" t="inlineStr">
        <is>
          <t>No</t>
        </is>
      </c>
      <c r="S122" t="inlineStr">
        <is>
          <t>No</t>
        </is>
      </c>
      <c r="U122" t="n">
        <v>128</v>
      </c>
    </row>
    <row r="123">
      <c r="A123" t="inlineStr">
        <is>
          <t>SIE-0057-2023-SERCOP</t>
        </is>
      </c>
      <c r="B123" t="inlineStr">
        <is>
          <t>Ecuador</t>
        </is>
      </c>
      <c r="C123" t="inlineStr">
        <is>
          <t>SERCOP</t>
        </is>
      </c>
      <c r="D123" t="inlineStr">
        <is>
          <t>Azuay</t>
        </is>
      </c>
      <c r="E123" t="inlineStr">
        <is>
          <t>Hospital General IESS Riobamba</t>
        </is>
      </c>
      <c r="F123" t="inlineStr">
        <is>
          <t>Resonancia Magnética 1.5T</t>
        </is>
      </c>
      <c r="G123" t="inlineStr">
        <is>
          <t>MR</t>
        </is>
      </c>
      <c r="H123" t="inlineStr">
        <is>
          <t>2023-09-26</t>
        </is>
      </c>
      <c r="I123" t="n">
        <v>2023</v>
      </c>
      <c r="J123" t="inlineStr">
        <is>
          <t>Q3</t>
        </is>
      </c>
      <c r="K123" t="inlineStr">
        <is>
          <t>Cotización</t>
        </is>
      </c>
      <c r="L123" t="n">
        <v>898000</v>
      </c>
      <c r="M123" t="inlineStr">
        <is>
          <t>USD</t>
        </is>
      </c>
      <c r="N123" t="inlineStr">
        <is>
          <t>Adjudicado</t>
        </is>
      </c>
      <c r="O123" t="inlineStr">
        <is>
          <t>Siemens Healthineers</t>
        </is>
      </c>
      <c r="P123" t="inlineStr">
        <is>
          <t>MAGNETOM Sola</t>
        </is>
      </c>
      <c r="Q123" t="n">
        <v>2</v>
      </c>
      <c r="R123" t="inlineStr">
        <is>
          <t>Sí</t>
        </is>
      </c>
      <c r="S123" t="inlineStr">
        <is>
          <t>No</t>
        </is>
      </c>
      <c r="T123" t="n">
        <v>1.5</v>
      </c>
    </row>
    <row r="124">
      <c r="A124" t="inlineStr">
        <is>
          <t>SIE-0029-2023-SERCOP</t>
        </is>
      </c>
      <c r="B124" t="inlineStr">
        <is>
          <t>Ecuador</t>
        </is>
      </c>
      <c r="C124" t="inlineStr">
        <is>
          <t>SERCOP</t>
        </is>
      </c>
      <c r="D124" t="inlineStr">
        <is>
          <t>Pichincha</t>
        </is>
      </c>
      <c r="E124" t="inlineStr">
        <is>
          <t>Hospital General IESS Riobamba</t>
        </is>
      </c>
      <c r="F124" t="inlineStr">
        <is>
          <t>Resonancia Magnética 3T</t>
        </is>
      </c>
      <c r="G124" t="inlineStr">
        <is>
          <t>MR</t>
        </is>
      </c>
      <c r="H124" t="inlineStr">
        <is>
          <t>2023-10-18</t>
        </is>
      </c>
      <c r="I124" t="n">
        <v>2023</v>
      </c>
      <c r="J124" t="inlineStr">
        <is>
          <t>Q4</t>
        </is>
      </c>
      <c r="K124" t="inlineStr">
        <is>
          <t>Subasta Inversa Electrónica</t>
        </is>
      </c>
      <c r="L124" t="n">
        <v>1682000</v>
      </c>
      <c r="M124" t="inlineStr">
        <is>
          <t>USD</t>
        </is>
      </c>
      <c r="N124" t="inlineStr">
        <is>
          <t>Adjudicado</t>
        </is>
      </c>
      <c r="O124" t="inlineStr">
        <is>
          <t>Siemens Healthineers</t>
        </is>
      </c>
      <c r="P124" t="inlineStr">
        <is>
          <t>MAGNETOM Vida</t>
        </is>
      </c>
      <c r="Q124" t="n">
        <v>2</v>
      </c>
      <c r="R124" t="inlineStr">
        <is>
          <t>Sí</t>
        </is>
      </c>
      <c r="S124" t="inlineStr">
        <is>
          <t>Sí</t>
        </is>
      </c>
      <c r="T124" t="n">
        <v>3</v>
      </c>
    </row>
    <row r="125">
      <c r="A125" t="inlineStr">
        <is>
          <t>SIE-0056-2023-SERCOP</t>
        </is>
      </c>
      <c r="B125" t="inlineStr">
        <is>
          <t>Ecuador</t>
        </is>
      </c>
      <c r="C125" t="inlineStr">
        <is>
          <t>SERCOP</t>
        </is>
      </c>
      <c r="D125" t="inlineStr">
        <is>
          <t>Guayas</t>
        </is>
      </c>
      <c r="E125" t="inlineStr">
        <is>
          <t>Hospital del IESS Ceibos</t>
        </is>
      </c>
      <c r="F125" t="inlineStr">
        <is>
          <t>Tomógrafo CT 128 cortes</t>
        </is>
      </c>
      <c r="G125" t="inlineStr">
        <is>
          <t>CT</t>
        </is>
      </c>
      <c r="H125" t="inlineStr">
        <is>
          <t>2023-10-20</t>
        </is>
      </c>
      <c r="I125" t="n">
        <v>2023</v>
      </c>
      <c r="J125" t="inlineStr">
        <is>
          <t>Q4</t>
        </is>
      </c>
      <c r="K125" t="inlineStr">
        <is>
          <t>Cotización</t>
        </is>
      </c>
      <c r="L125" t="n">
        <v>615000</v>
      </c>
      <c r="M125" t="inlineStr">
        <is>
          <t>USD</t>
        </is>
      </c>
      <c r="N125" t="inlineStr">
        <is>
          <t>Adjudicado</t>
        </is>
      </c>
      <c r="O125" t="inlineStr">
        <is>
          <t>GE Healthcare</t>
        </is>
      </c>
      <c r="P125" t="inlineStr">
        <is>
          <t>Revolution Ascend</t>
        </is>
      </c>
      <c r="Q125" t="n">
        <v>4</v>
      </c>
      <c r="R125" t="inlineStr">
        <is>
          <t>No</t>
        </is>
      </c>
      <c r="S125" t="inlineStr">
        <is>
          <t>Sí</t>
        </is>
      </c>
      <c r="U125" t="n">
        <v>128</v>
      </c>
    </row>
    <row r="126">
      <c r="A126" t="inlineStr">
        <is>
          <t>LP-0003-2023-SEACE</t>
        </is>
      </c>
      <c r="B126" t="inlineStr">
        <is>
          <t>Perú</t>
        </is>
      </c>
      <c r="C126" t="inlineStr">
        <is>
          <t>SEACE</t>
        </is>
      </c>
      <c r="D126" t="inlineStr">
        <is>
          <t>Arequipa</t>
        </is>
      </c>
      <c r="E126" t="inlineStr">
        <is>
          <t>Instituto Nacional de Enfermedades Neoplásicas (INEN)</t>
        </is>
      </c>
      <c r="F126" t="inlineStr">
        <is>
          <t>Resonancia Magnética 1.5T</t>
        </is>
      </c>
      <c r="G126" t="inlineStr">
        <is>
          <t>MR</t>
        </is>
      </c>
      <c r="H126" t="inlineStr">
        <is>
          <t>2023-10-25</t>
        </is>
      </c>
      <c r="I126" t="n">
        <v>2023</v>
      </c>
      <c r="J126" t="inlineStr">
        <is>
          <t>Q4</t>
        </is>
      </c>
      <c r="K126" t="inlineStr">
        <is>
          <t>Licitación Pública</t>
        </is>
      </c>
      <c r="L126" t="n">
        <v>1009000</v>
      </c>
      <c r="M126" t="inlineStr">
        <is>
          <t>USD</t>
        </is>
      </c>
      <c r="N126" t="inlineStr">
        <is>
          <t>Adjudicado</t>
        </is>
      </c>
      <c r="O126" t="inlineStr">
        <is>
          <t>GE Healthcare</t>
        </is>
      </c>
      <c r="P126" t="inlineStr">
        <is>
          <t>SIGNA Artist</t>
        </is>
      </c>
      <c r="Q126" t="n">
        <v>1</v>
      </c>
      <c r="R126" t="inlineStr">
        <is>
          <t>Sí</t>
        </is>
      </c>
      <c r="S126" t="inlineStr">
        <is>
          <t>Sí</t>
        </is>
      </c>
      <c r="T126" t="n">
        <v>1.5</v>
      </c>
    </row>
    <row r="127">
      <c r="A127" t="inlineStr">
        <is>
          <t>LP-0037-2023-SEACE</t>
        </is>
      </c>
      <c r="B127" t="inlineStr">
        <is>
          <t>Perú</t>
        </is>
      </c>
      <c r="C127" t="inlineStr">
        <is>
          <t>SEACE</t>
        </is>
      </c>
      <c r="D127" t="inlineStr">
        <is>
          <t>Piura</t>
        </is>
      </c>
      <c r="E127" t="inlineStr">
        <is>
          <t>Clínica Ricardo Palma S.A.</t>
        </is>
      </c>
      <c r="F127" t="inlineStr">
        <is>
          <t>Resonancia Magnética 1.5T</t>
        </is>
      </c>
      <c r="G127" t="inlineStr">
        <is>
          <t>MR</t>
        </is>
      </c>
      <c r="H127" t="inlineStr">
        <is>
          <t>2023-11-16</t>
        </is>
      </c>
      <c r="I127" t="n">
        <v>2023</v>
      </c>
      <c r="J127" t="inlineStr">
        <is>
          <t>Q4</t>
        </is>
      </c>
      <c r="K127" t="inlineStr">
        <is>
          <t>Licitación Pública</t>
        </is>
      </c>
      <c r="L127" t="n">
        <v>1059000</v>
      </c>
      <c r="M127" t="inlineStr">
        <is>
          <t>USD</t>
        </is>
      </c>
      <c r="N127" t="inlineStr">
        <is>
          <t>Adjudicado</t>
        </is>
      </c>
      <c r="O127" t="inlineStr">
        <is>
          <t>Siemens Healthineers</t>
        </is>
      </c>
      <c r="P127" t="inlineStr">
        <is>
          <t>MAGNETOM Sola</t>
        </is>
      </c>
      <c r="Q127" t="n">
        <v>4</v>
      </c>
      <c r="R127" t="inlineStr">
        <is>
          <t>No</t>
        </is>
      </c>
      <c r="S127" t="inlineStr">
        <is>
          <t>Sí</t>
        </is>
      </c>
      <c r="T127" t="n">
        <v>1.5</v>
      </c>
    </row>
    <row r="128">
      <c r="A128" t="inlineStr">
        <is>
          <t>LP-0027-2023-SEACE</t>
        </is>
      </c>
      <c r="B128" t="inlineStr">
        <is>
          <t>Perú</t>
        </is>
      </c>
      <c r="C128" t="inlineStr">
        <is>
          <t>SEACE</t>
        </is>
      </c>
      <c r="D128" t="inlineStr">
        <is>
          <t>Arequipa</t>
        </is>
      </c>
      <c r="E128" t="inlineStr">
        <is>
          <t>Hospital Nacional Dos de Mayo (MINSA)</t>
        </is>
      </c>
      <c r="F128" t="inlineStr">
        <is>
          <t>Tomógrafo CT 256 cortes</t>
        </is>
      </c>
      <c r="G128" t="inlineStr">
        <is>
          <t>CT</t>
        </is>
      </c>
      <c r="H128" t="inlineStr">
        <is>
          <t>2023-11-30</t>
        </is>
      </c>
      <c r="I128" t="n">
        <v>2023</v>
      </c>
      <c r="J128" t="inlineStr">
        <is>
          <t>Q4</t>
        </is>
      </c>
      <c r="K128" t="inlineStr">
        <is>
          <t>Adjudicación Simplificada</t>
        </is>
      </c>
      <c r="L128" t="n">
        <v>713000</v>
      </c>
      <c r="M128" t="inlineStr">
        <is>
          <t>USD</t>
        </is>
      </c>
      <c r="N128" t="inlineStr">
        <is>
          <t>Adjudicado</t>
        </is>
      </c>
      <c r="O128" t="inlineStr">
        <is>
          <t>GE Healthcare</t>
        </is>
      </c>
      <c r="P128" t="inlineStr">
        <is>
          <t>Revolution HD</t>
        </is>
      </c>
      <c r="Q128" t="n">
        <v>4</v>
      </c>
      <c r="R128" t="inlineStr">
        <is>
          <t>No</t>
        </is>
      </c>
      <c r="S128" t="inlineStr">
        <is>
          <t>No</t>
        </is>
      </c>
      <c r="U128" t="n">
        <v>256</v>
      </c>
    </row>
    <row r="129">
      <c r="A129" t="inlineStr">
        <is>
          <t>LP-0063-2023-SEACE</t>
        </is>
      </c>
      <c r="B129" t="inlineStr">
        <is>
          <t>Perú</t>
        </is>
      </c>
      <c r="C129" t="inlineStr">
        <is>
          <t>SEACE</t>
        </is>
      </c>
      <c r="D129" t="inlineStr">
        <is>
          <t>La Libertad</t>
        </is>
      </c>
      <c r="E129" t="inlineStr">
        <is>
          <t>Hospital Nacional Dos de Mayo (MINSA)</t>
        </is>
      </c>
      <c r="F129" t="inlineStr">
        <is>
          <t>Tomógrafo CT 128 cortes</t>
        </is>
      </c>
      <c r="G129" t="inlineStr">
        <is>
          <t>CT</t>
        </is>
      </c>
      <c r="H129" t="inlineStr">
        <is>
          <t>2023-12-12</t>
        </is>
      </c>
      <c r="I129" t="n">
        <v>2023</v>
      </c>
      <c r="J129" t="inlineStr">
        <is>
          <t>Q4</t>
        </is>
      </c>
      <c r="K129" t="inlineStr">
        <is>
          <t>Adjudicación Simplificada</t>
        </is>
      </c>
      <c r="L129" t="n">
        <v>569000</v>
      </c>
      <c r="M129" t="inlineStr">
        <is>
          <t>USD</t>
        </is>
      </c>
      <c r="N129" t="inlineStr">
        <is>
          <t>Adjudicado</t>
        </is>
      </c>
      <c r="O129" t="inlineStr">
        <is>
          <t>Philips Healthcare</t>
        </is>
      </c>
      <c r="P129" t="inlineStr">
        <is>
          <t>Incisive CT 128</t>
        </is>
      </c>
      <c r="Q129" t="n">
        <v>1</v>
      </c>
      <c r="R129" t="inlineStr">
        <is>
          <t>No</t>
        </is>
      </c>
      <c r="S129" t="inlineStr">
        <is>
          <t>Sí</t>
        </is>
      </c>
      <c r="U129" t="n">
        <v>128</v>
      </c>
    </row>
    <row r="130">
      <c r="A130" t="inlineStr">
        <is>
          <t>SIE-0002-2023-SERCOP</t>
        </is>
      </c>
      <c r="B130" t="inlineStr">
        <is>
          <t>Ecuador</t>
        </is>
      </c>
      <c r="C130" t="inlineStr">
        <is>
          <t>SERCOP</t>
        </is>
      </c>
      <c r="D130" t="inlineStr">
        <is>
          <t>Tungurahua</t>
        </is>
      </c>
      <c r="E130" t="inlineStr">
        <is>
          <t>Hospital de Especialidades Fuerzas Armadas N°1</t>
        </is>
      </c>
      <c r="F130" t="inlineStr">
        <is>
          <t>Tomógrafo CT 256 cortes</t>
        </is>
      </c>
      <c r="G130" t="inlineStr">
        <is>
          <t>CT</t>
        </is>
      </c>
      <c r="H130" t="inlineStr">
        <is>
          <t>2023-12-21</t>
        </is>
      </c>
      <c r="I130" t="n">
        <v>2023</v>
      </c>
      <c r="J130" t="inlineStr">
        <is>
          <t>Q4</t>
        </is>
      </c>
      <c r="K130" t="inlineStr">
        <is>
          <t>Subasta Inversa Electrónica</t>
        </is>
      </c>
      <c r="L130" t="n">
        <v>928000</v>
      </c>
      <c r="M130" t="inlineStr">
        <is>
          <t>USD</t>
        </is>
      </c>
      <c r="N130" t="inlineStr">
        <is>
          <t>Adjudicado</t>
        </is>
      </c>
      <c r="O130" t="inlineStr">
        <is>
          <t>Philips Healthcare</t>
        </is>
      </c>
      <c r="P130" t="inlineStr">
        <is>
          <t>IQon Spectral CT</t>
        </is>
      </c>
      <c r="Q130" t="n">
        <v>1</v>
      </c>
      <c r="R130" t="inlineStr">
        <is>
          <t>Sí</t>
        </is>
      </c>
      <c r="S130" t="inlineStr">
        <is>
          <t>Sí</t>
        </is>
      </c>
      <c r="U130" t="n">
        <v>256</v>
      </c>
    </row>
    <row r="131">
      <c r="A131" t="inlineStr">
        <is>
          <t>LP-0019-2023-SEACE</t>
        </is>
      </c>
      <c r="B131" t="inlineStr">
        <is>
          <t>Perú</t>
        </is>
      </c>
      <c r="C131" t="inlineStr">
        <is>
          <t>SEACE</t>
        </is>
      </c>
      <c r="D131" t="inlineStr">
        <is>
          <t>Lambayeque</t>
        </is>
      </c>
      <c r="E131" t="inlineStr">
        <is>
          <t>Hospital Regional Honorio Delgado (Arequipa)</t>
        </is>
      </c>
      <c r="F131" t="inlineStr">
        <is>
          <t>Resonancia Magnética 1.5T</t>
        </is>
      </c>
      <c r="G131" t="inlineStr">
        <is>
          <t>MR</t>
        </is>
      </c>
      <c r="H131" t="inlineStr">
        <is>
          <t>2023-12-22</t>
        </is>
      </c>
      <c r="I131" t="n">
        <v>2023</v>
      </c>
      <c r="J131" t="inlineStr">
        <is>
          <t>Q4</t>
        </is>
      </c>
      <c r="K131" t="inlineStr">
        <is>
          <t>Licitación Pública</t>
        </is>
      </c>
      <c r="L131" t="n">
        <v>1081000</v>
      </c>
      <c r="M131" t="inlineStr">
        <is>
          <t>USD</t>
        </is>
      </c>
      <c r="N131" t="inlineStr">
        <is>
          <t>Adjudicado</t>
        </is>
      </c>
      <c r="O131" t="inlineStr">
        <is>
          <t>Siemens Healthineers</t>
        </is>
      </c>
      <c r="P131" t="inlineStr">
        <is>
          <t>MAGNETOM Sola</t>
        </is>
      </c>
      <c r="Q131" t="n">
        <v>1</v>
      </c>
      <c r="R131" t="inlineStr">
        <is>
          <t>Sí</t>
        </is>
      </c>
      <c r="S131" t="inlineStr">
        <is>
          <t>No</t>
        </is>
      </c>
      <c r="T131" t="n">
        <v>1.5</v>
      </c>
    </row>
    <row r="132">
      <c r="A132" t="inlineStr">
        <is>
          <t>LP-0032-2024-SEACE</t>
        </is>
      </c>
      <c r="B132" t="inlineStr">
        <is>
          <t>Perú</t>
        </is>
      </c>
      <c r="C132" t="inlineStr">
        <is>
          <t>SEACE</t>
        </is>
      </c>
      <c r="D132" t="inlineStr">
        <is>
          <t>Lima</t>
        </is>
      </c>
      <c r="E132" t="inlineStr">
        <is>
          <t>Instituto Nacional de Enfermedades Neoplásicas (INEN)</t>
        </is>
      </c>
      <c r="F132" t="inlineStr">
        <is>
          <t>Tomógrafo CT 128 cortes</t>
        </is>
      </c>
      <c r="G132" t="inlineStr">
        <is>
          <t>CT</t>
        </is>
      </c>
      <c r="H132" t="inlineStr">
        <is>
          <t>2024-02-02</t>
        </is>
      </c>
      <c r="I132" t="n">
        <v>2024</v>
      </c>
      <c r="J132" t="inlineStr">
        <is>
          <t>Q1</t>
        </is>
      </c>
      <c r="K132" t="inlineStr">
        <is>
          <t>Adjudicación Simplificada</t>
        </is>
      </c>
      <c r="L132" t="n">
        <v>460000</v>
      </c>
      <c r="M132" t="inlineStr">
        <is>
          <t>USD</t>
        </is>
      </c>
      <c r="N132" t="inlineStr">
        <is>
          <t>Adjudicado</t>
        </is>
      </c>
      <c r="O132" t="inlineStr">
        <is>
          <t>Siemens Healthineers</t>
        </is>
      </c>
      <c r="P132" t="inlineStr">
        <is>
          <t>SOMATOM go.Top</t>
        </is>
      </c>
      <c r="Q132" t="n">
        <v>2</v>
      </c>
      <c r="R132" t="inlineStr">
        <is>
          <t>No</t>
        </is>
      </c>
      <c r="S132" t="inlineStr">
        <is>
          <t>Sí</t>
        </is>
      </c>
      <c r="U132" t="n">
        <v>128</v>
      </c>
    </row>
    <row r="133">
      <c r="A133" t="inlineStr">
        <is>
          <t>LP-0006-2024-SEACE</t>
        </is>
      </c>
      <c r="B133" t="inlineStr">
        <is>
          <t>Perú</t>
        </is>
      </c>
      <c r="C133" t="inlineStr">
        <is>
          <t>SEACE</t>
        </is>
      </c>
      <c r="D133" t="inlineStr">
        <is>
          <t>Piura</t>
        </is>
      </c>
      <c r="E133" t="inlineStr">
        <is>
          <t>Hospital Regional de Lambayeque</t>
        </is>
      </c>
      <c r="F133" t="inlineStr">
        <is>
          <t>Tomógrafo CT 64 cortes</t>
        </is>
      </c>
      <c r="G133" t="inlineStr">
        <is>
          <t>CT</t>
        </is>
      </c>
      <c r="H133" t="inlineStr">
        <is>
          <t>2024-02-03</t>
        </is>
      </c>
      <c r="I133" t="n">
        <v>2024</v>
      </c>
      <c r="J133" t="inlineStr">
        <is>
          <t>Q1</t>
        </is>
      </c>
      <c r="K133" t="inlineStr">
        <is>
          <t>Concurso Público</t>
        </is>
      </c>
      <c r="L133" t="n">
        <v>351000</v>
      </c>
      <c r="M133" t="inlineStr">
        <is>
          <t>USD</t>
        </is>
      </c>
      <c r="N133" t="inlineStr">
        <is>
          <t>Adjudicado</t>
        </is>
      </c>
      <c r="O133" t="inlineStr">
        <is>
          <t>Canon Medical</t>
        </is>
      </c>
      <c r="P133" t="inlineStr">
        <is>
          <t>Aquilion Lightning</t>
        </is>
      </c>
      <c r="Q133" t="n">
        <v>1</v>
      </c>
      <c r="R133" t="inlineStr">
        <is>
          <t>No</t>
        </is>
      </c>
      <c r="S133" t="inlineStr">
        <is>
          <t>Sí</t>
        </is>
      </c>
      <c r="U133" t="n">
        <v>64</v>
      </c>
    </row>
    <row r="134">
      <c r="A134" t="inlineStr">
        <is>
          <t>SIE-0042-2024-SERCOP</t>
        </is>
      </c>
      <c r="B134" t="inlineStr">
        <is>
          <t>Ecuador</t>
        </is>
      </c>
      <c r="C134" t="inlineStr">
        <is>
          <t>SERCOP</t>
        </is>
      </c>
      <c r="D134" t="inlineStr">
        <is>
          <t>Azuay</t>
        </is>
      </c>
      <c r="E134" t="inlineStr">
        <is>
          <t>Hospital del IESS Ceibos</t>
        </is>
      </c>
      <c r="F134" t="inlineStr">
        <is>
          <t>Tomógrafo CT 128 cortes</t>
        </is>
      </c>
      <c r="G134" t="inlineStr">
        <is>
          <t>CT</t>
        </is>
      </c>
      <c r="H134" t="inlineStr">
        <is>
          <t>2024-02-20</t>
        </is>
      </c>
      <c r="I134" t="n">
        <v>2024</v>
      </c>
      <c r="J134" t="inlineStr">
        <is>
          <t>Q1</t>
        </is>
      </c>
      <c r="K134" t="inlineStr">
        <is>
          <t>Licitación</t>
        </is>
      </c>
      <c r="L134" t="n">
        <v>533000</v>
      </c>
      <c r="M134" t="inlineStr">
        <is>
          <t>USD</t>
        </is>
      </c>
      <c r="N134" t="inlineStr">
        <is>
          <t>Adjudicado</t>
        </is>
      </c>
      <c r="O134" t="inlineStr">
        <is>
          <t>Siemens Healthineers</t>
        </is>
      </c>
      <c r="P134" t="inlineStr">
        <is>
          <t>SOMATOM go.Top</t>
        </is>
      </c>
      <c r="Q134" t="n">
        <v>1</v>
      </c>
      <c r="R134" t="inlineStr">
        <is>
          <t>Sí</t>
        </is>
      </c>
      <c r="S134" t="inlineStr">
        <is>
          <t>No</t>
        </is>
      </c>
      <c r="U134" t="n">
        <v>128</v>
      </c>
    </row>
    <row r="135">
      <c r="A135" t="inlineStr">
        <is>
          <t>SIE-0050-2024-SERCOP</t>
        </is>
      </c>
      <c r="B135" t="inlineStr">
        <is>
          <t>Ecuador</t>
        </is>
      </c>
      <c r="C135" t="inlineStr">
        <is>
          <t>SERCOP</t>
        </is>
      </c>
      <c r="D135" t="inlineStr">
        <is>
          <t>Pichincha</t>
        </is>
      </c>
      <c r="E135" t="inlineStr">
        <is>
          <t>Ministerio de Salud Pública - Hospital Eugenio Espejo</t>
        </is>
      </c>
      <c r="F135" t="inlineStr">
        <is>
          <t>Tomógrafo CT 64 cortes</t>
        </is>
      </c>
      <c r="G135" t="inlineStr">
        <is>
          <t>CT</t>
        </is>
      </c>
      <c r="H135" t="inlineStr">
        <is>
          <t>2024-02-26</t>
        </is>
      </c>
      <c r="I135" t="n">
        <v>2024</v>
      </c>
      <c r="J135" t="inlineStr">
        <is>
          <t>Q1</t>
        </is>
      </c>
      <c r="K135" t="inlineStr">
        <is>
          <t>Cotización</t>
        </is>
      </c>
      <c r="L135" t="n">
        <v>283000</v>
      </c>
      <c r="M135" t="inlineStr">
        <is>
          <t>USD</t>
        </is>
      </c>
      <c r="N135" t="inlineStr">
        <is>
          <t>Adjudicado</t>
        </is>
      </c>
      <c r="O135" t="inlineStr">
        <is>
          <t>Canon Medical</t>
        </is>
      </c>
      <c r="P135" t="inlineStr">
        <is>
          <t>Aquilion Lightning</t>
        </is>
      </c>
      <c r="Q135" t="n">
        <v>4</v>
      </c>
      <c r="R135" t="inlineStr">
        <is>
          <t>Sí</t>
        </is>
      </c>
      <c r="S135" t="inlineStr">
        <is>
          <t>No</t>
        </is>
      </c>
      <c r="U135" t="n">
        <v>64</v>
      </c>
    </row>
    <row r="136">
      <c r="A136" t="inlineStr">
        <is>
          <t>SIE-0037-2024-SERCOP</t>
        </is>
      </c>
      <c r="B136" t="inlineStr">
        <is>
          <t>Ecuador</t>
        </is>
      </c>
      <c r="C136" t="inlineStr">
        <is>
          <t>SERCOP</t>
        </is>
      </c>
      <c r="D136" t="inlineStr">
        <is>
          <t>Tungurahua</t>
        </is>
      </c>
      <c r="E136" t="inlineStr">
        <is>
          <t>Hospital Carlos Andrade Marín (IESS)</t>
        </is>
      </c>
      <c r="F136" t="inlineStr">
        <is>
          <t>Tomógrafo CT 256 cortes</t>
        </is>
      </c>
      <c r="G136" t="inlineStr">
        <is>
          <t>CT</t>
        </is>
      </c>
      <c r="H136" t="inlineStr">
        <is>
          <t>2024-02-28</t>
        </is>
      </c>
      <c r="I136" t="n">
        <v>2024</v>
      </c>
      <c r="J136" t="inlineStr">
        <is>
          <t>Q1</t>
        </is>
      </c>
      <c r="K136" t="inlineStr">
        <is>
          <t>Cotización</t>
        </is>
      </c>
      <c r="L136" t="n">
        <v>870000</v>
      </c>
      <c r="M136" t="inlineStr">
        <is>
          <t>USD</t>
        </is>
      </c>
      <c r="N136" t="inlineStr">
        <is>
          <t>Adjudicado</t>
        </is>
      </c>
      <c r="O136" t="inlineStr">
        <is>
          <t>Siemens Healthineers</t>
        </is>
      </c>
      <c r="P136" t="inlineStr">
        <is>
          <t>SOMATOM go.Now</t>
        </is>
      </c>
      <c r="Q136" t="n">
        <v>3</v>
      </c>
      <c r="R136" t="inlineStr">
        <is>
          <t>Sí</t>
        </is>
      </c>
      <c r="S136" t="inlineStr">
        <is>
          <t>No</t>
        </is>
      </c>
      <c r="U136" t="n">
        <v>256</v>
      </c>
    </row>
    <row r="137">
      <c r="A137" t="inlineStr">
        <is>
          <t>SIE-0020-2024-SERCOP</t>
        </is>
      </c>
      <c r="B137" t="inlineStr">
        <is>
          <t>Ecuador</t>
        </is>
      </c>
      <c r="C137" t="inlineStr">
        <is>
          <t>SERCOP</t>
        </is>
      </c>
      <c r="D137" t="inlineStr">
        <is>
          <t>Pichincha</t>
        </is>
      </c>
      <c r="E137" t="inlineStr">
        <is>
          <t>SOLCA Núcleo de Quito</t>
        </is>
      </c>
      <c r="F137" t="inlineStr">
        <is>
          <t>Tomógrafo CT 64 cortes</t>
        </is>
      </c>
      <c r="G137" t="inlineStr">
        <is>
          <t>CT</t>
        </is>
      </c>
      <c r="H137" t="inlineStr">
        <is>
          <t>2024-02-29</t>
        </is>
      </c>
      <c r="I137" t="n">
        <v>2024</v>
      </c>
      <c r="J137" t="inlineStr">
        <is>
          <t>Q1</t>
        </is>
      </c>
      <c r="K137" t="inlineStr">
        <is>
          <t>Licitación</t>
        </is>
      </c>
      <c r="L137" t="n">
        <v>370000</v>
      </c>
      <c r="M137" t="inlineStr">
        <is>
          <t>USD</t>
        </is>
      </c>
      <c r="N137" t="inlineStr">
        <is>
          <t>Adjudicado</t>
        </is>
      </c>
      <c r="O137" t="inlineStr">
        <is>
          <t>Siemens Healthineers</t>
        </is>
      </c>
      <c r="P137" t="inlineStr">
        <is>
          <t>SOMATOM go.Up</t>
        </is>
      </c>
      <c r="Q137" t="n">
        <v>3</v>
      </c>
      <c r="R137" t="inlineStr">
        <is>
          <t>Sí</t>
        </is>
      </c>
      <c r="S137" t="inlineStr">
        <is>
          <t>Sí</t>
        </is>
      </c>
      <c r="U137" t="n">
        <v>64</v>
      </c>
    </row>
    <row r="138">
      <c r="A138" t="inlineStr">
        <is>
          <t>LP-0016-2024-SEACE</t>
        </is>
      </c>
      <c r="B138" t="inlineStr">
        <is>
          <t>Perú</t>
        </is>
      </c>
      <c r="C138" t="inlineStr">
        <is>
          <t>SEACE</t>
        </is>
      </c>
      <c r="D138" t="inlineStr">
        <is>
          <t>Junín</t>
        </is>
      </c>
      <c r="E138" t="inlineStr">
        <is>
          <t>Hospital Nacional Guillermo Almenara Irigoyen (EsSalud)</t>
        </is>
      </c>
      <c r="F138" t="inlineStr">
        <is>
          <t>Tomógrafo CT 64 cortes</t>
        </is>
      </c>
      <c r="G138" t="inlineStr">
        <is>
          <t>CT</t>
        </is>
      </c>
      <c r="H138" t="inlineStr">
        <is>
          <t>2024-03-09</t>
        </is>
      </c>
      <c r="I138" t="n">
        <v>2024</v>
      </c>
      <c r="J138" t="inlineStr">
        <is>
          <t>Q1</t>
        </is>
      </c>
      <c r="K138" t="inlineStr">
        <is>
          <t>Adjudicación Simplificada</t>
        </is>
      </c>
      <c r="L138" t="n">
        <v>399000</v>
      </c>
      <c r="M138" t="inlineStr">
        <is>
          <t>USD</t>
        </is>
      </c>
      <c r="N138" t="inlineStr">
        <is>
          <t>Adjudicado</t>
        </is>
      </c>
      <c r="O138" t="inlineStr">
        <is>
          <t>Canon Medical</t>
        </is>
      </c>
      <c r="P138" t="inlineStr">
        <is>
          <t>Aquilion Lightning</t>
        </is>
      </c>
      <c r="Q138" t="n">
        <v>2</v>
      </c>
      <c r="R138" t="inlineStr">
        <is>
          <t>Sí</t>
        </is>
      </c>
      <c r="S138" t="inlineStr">
        <is>
          <t>No</t>
        </is>
      </c>
      <c r="U138" t="n">
        <v>64</v>
      </c>
    </row>
    <row r="139">
      <c r="A139" t="inlineStr">
        <is>
          <t>LP-0013-2024-SEACE</t>
        </is>
      </c>
      <c r="B139" t="inlineStr">
        <is>
          <t>Perú</t>
        </is>
      </c>
      <c r="C139" t="inlineStr">
        <is>
          <t>SEACE</t>
        </is>
      </c>
      <c r="D139" t="inlineStr">
        <is>
          <t>Junín</t>
        </is>
      </c>
      <c r="E139" t="inlineStr">
        <is>
          <t>Gobierno Regional de Piura - Gerencia Regional de Salud</t>
        </is>
      </c>
      <c r="F139" t="inlineStr">
        <is>
          <t>Tomógrafo CT 256 cortes</t>
        </is>
      </c>
      <c r="G139" t="inlineStr">
        <is>
          <t>CT</t>
        </is>
      </c>
      <c r="H139" t="inlineStr">
        <is>
          <t>2024-03-11</t>
        </is>
      </c>
      <c r="I139" t="n">
        <v>2024</v>
      </c>
      <c r="J139" t="inlineStr">
        <is>
          <t>Q1</t>
        </is>
      </c>
      <c r="K139" t="inlineStr">
        <is>
          <t>Licitación Pública</t>
        </is>
      </c>
      <c r="L139" t="n">
        <v>770000</v>
      </c>
      <c r="M139" t="inlineStr">
        <is>
          <t>USD</t>
        </is>
      </c>
      <c r="N139" t="inlineStr">
        <is>
          <t>Adjudicado</t>
        </is>
      </c>
      <c r="O139" t="inlineStr">
        <is>
          <t>Philips Healthcare</t>
        </is>
      </c>
      <c r="P139" t="inlineStr">
        <is>
          <t>IQon Spectral CT</t>
        </is>
      </c>
      <c r="Q139" t="n">
        <v>5</v>
      </c>
      <c r="R139" t="inlineStr">
        <is>
          <t>Sí</t>
        </is>
      </c>
      <c r="S139" t="inlineStr">
        <is>
          <t>No</t>
        </is>
      </c>
      <c r="U139" t="n">
        <v>256</v>
      </c>
    </row>
    <row r="140">
      <c r="A140" t="inlineStr">
        <is>
          <t>LP-0083-2024-SEACE</t>
        </is>
      </c>
      <c r="B140" t="inlineStr">
        <is>
          <t>Perú</t>
        </is>
      </c>
      <c r="C140" t="inlineStr">
        <is>
          <t>SEACE</t>
        </is>
      </c>
      <c r="D140" t="inlineStr">
        <is>
          <t>Piura</t>
        </is>
      </c>
      <c r="E140" t="inlineStr">
        <is>
          <t>Hospital Nacional Arzobispo Loayza (MINSA)</t>
        </is>
      </c>
      <c r="F140" t="inlineStr">
        <is>
          <t>Tomógrafo CT 64 cortes</t>
        </is>
      </c>
      <c r="G140" t="inlineStr">
        <is>
          <t>CT</t>
        </is>
      </c>
      <c r="H140" t="inlineStr">
        <is>
          <t>2024-03-25</t>
        </is>
      </c>
      <c r="I140" t="n">
        <v>2024</v>
      </c>
      <c r="J140" t="inlineStr">
        <is>
          <t>Q1</t>
        </is>
      </c>
      <c r="K140" t="inlineStr">
        <is>
          <t>Adjudicación Simplificada</t>
        </is>
      </c>
      <c r="L140" t="n">
        <v>352000</v>
      </c>
      <c r="M140" t="inlineStr">
        <is>
          <t>USD</t>
        </is>
      </c>
      <c r="N140" t="inlineStr">
        <is>
          <t>Adjudicado</t>
        </is>
      </c>
      <c r="O140" t="inlineStr">
        <is>
          <t>Philips Healthcare</t>
        </is>
      </c>
      <c r="P140" t="inlineStr">
        <is>
          <t>Incisive CT</t>
        </is>
      </c>
      <c r="Q140" t="n">
        <v>5</v>
      </c>
      <c r="R140" t="inlineStr">
        <is>
          <t>Sí</t>
        </is>
      </c>
      <c r="S140" t="inlineStr">
        <is>
          <t>Sí</t>
        </is>
      </c>
      <c r="U140" t="n">
        <v>64</v>
      </c>
    </row>
    <row r="141">
      <c r="A141" t="inlineStr">
        <is>
          <t>LP-0040-2024-SEACE</t>
        </is>
      </c>
      <c r="B141" t="inlineStr">
        <is>
          <t>Perú</t>
        </is>
      </c>
      <c r="C141" t="inlineStr">
        <is>
          <t>SEACE</t>
        </is>
      </c>
      <c r="D141" t="inlineStr">
        <is>
          <t>Lima</t>
        </is>
      </c>
      <c r="E141" t="inlineStr">
        <is>
          <t>Clínica Ricardo Palma S.A.</t>
        </is>
      </c>
      <c r="F141" t="inlineStr">
        <is>
          <t>Tomógrafo CT 256 cortes</t>
        </is>
      </c>
      <c r="G141" t="inlineStr">
        <is>
          <t>CT</t>
        </is>
      </c>
      <c r="H141" t="inlineStr">
        <is>
          <t>2024-04-01</t>
        </is>
      </c>
      <c r="I141" t="n">
        <v>2024</v>
      </c>
      <c r="J141" t="inlineStr">
        <is>
          <t>Q2</t>
        </is>
      </c>
      <c r="K141" t="inlineStr">
        <is>
          <t>Concurso Público</t>
        </is>
      </c>
      <c r="L141" t="n">
        <v>748000</v>
      </c>
      <c r="M141" t="inlineStr">
        <is>
          <t>USD</t>
        </is>
      </c>
      <c r="N141" t="inlineStr">
        <is>
          <t>Adjudicado</t>
        </is>
      </c>
      <c r="O141" t="inlineStr">
        <is>
          <t>Siemens Healthineers</t>
        </is>
      </c>
      <c r="P141" t="inlineStr">
        <is>
          <t>SOMATOM go.Now</t>
        </is>
      </c>
      <c r="Q141" t="n">
        <v>4</v>
      </c>
      <c r="R141" t="inlineStr">
        <is>
          <t>No</t>
        </is>
      </c>
      <c r="S141" t="inlineStr">
        <is>
          <t>Sí</t>
        </is>
      </c>
      <c r="U141" t="n">
        <v>256</v>
      </c>
    </row>
    <row r="142">
      <c r="A142" t="inlineStr">
        <is>
          <t>SIE-0060-2024-SERCOP</t>
        </is>
      </c>
      <c r="B142" t="inlineStr">
        <is>
          <t>Ecuador</t>
        </is>
      </c>
      <c r="C142" t="inlineStr">
        <is>
          <t>SERCOP</t>
        </is>
      </c>
      <c r="D142" t="inlineStr">
        <is>
          <t>Manabí</t>
        </is>
      </c>
      <c r="E142" t="inlineStr">
        <is>
          <t>Hospital Metropolitano (privado)</t>
        </is>
      </c>
      <c r="F142" t="inlineStr">
        <is>
          <t>Resonancia Magnética 1.5T</t>
        </is>
      </c>
      <c r="G142" t="inlineStr">
        <is>
          <t>MR</t>
        </is>
      </c>
      <c r="H142" t="inlineStr">
        <is>
          <t>2024-04-06</t>
        </is>
      </c>
      <c r="I142" t="n">
        <v>2024</v>
      </c>
      <c r="J142" t="inlineStr">
        <is>
          <t>Q2</t>
        </is>
      </c>
      <c r="K142" t="inlineStr">
        <is>
          <t>Licitación</t>
        </is>
      </c>
      <c r="L142" t="n">
        <v>801000</v>
      </c>
      <c r="M142" t="inlineStr">
        <is>
          <t>USD</t>
        </is>
      </c>
      <c r="N142" t="inlineStr">
        <is>
          <t>Adjudicado</t>
        </is>
      </c>
      <c r="O142" t="inlineStr">
        <is>
          <t>Canon Medical</t>
        </is>
      </c>
      <c r="P142" t="inlineStr">
        <is>
          <t>Vantage Orian</t>
        </is>
      </c>
      <c r="Q142" t="n">
        <v>1</v>
      </c>
      <c r="R142" t="inlineStr">
        <is>
          <t>Sí</t>
        </is>
      </c>
      <c r="S142" t="inlineStr">
        <is>
          <t>Sí</t>
        </is>
      </c>
      <c r="T142" t="n">
        <v>1.5</v>
      </c>
    </row>
    <row r="143">
      <c r="A143" t="inlineStr">
        <is>
          <t>LP-0081-2024-SEACE</t>
        </is>
      </c>
      <c r="B143" t="inlineStr">
        <is>
          <t>Perú</t>
        </is>
      </c>
      <c r="C143" t="inlineStr">
        <is>
          <t>SEACE</t>
        </is>
      </c>
      <c r="D143" t="inlineStr">
        <is>
          <t>Ica</t>
        </is>
      </c>
      <c r="E143" t="inlineStr">
        <is>
          <t>Hospital Regional Honorio Delgado (Arequipa)</t>
        </is>
      </c>
      <c r="F143" t="inlineStr">
        <is>
          <t>Resonancia Magnética 3T</t>
        </is>
      </c>
      <c r="G143" t="inlineStr">
        <is>
          <t>MR</t>
        </is>
      </c>
      <c r="H143" t="inlineStr">
        <is>
          <t>2024-04-20</t>
        </is>
      </c>
      <c r="I143" t="n">
        <v>2024</v>
      </c>
      <c r="J143" t="inlineStr">
        <is>
          <t>Q2</t>
        </is>
      </c>
      <c r="K143" t="inlineStr">
        <is>
          <t>Adjudicación Simplificada</t>
        </is>
      </c>
      <c r="L143" t="n">
        <v>1763000</v>
      </c>
      <c r="M143" t="inlineStr">
        <is>
          <t>USD</t>
        </is>
      </c>
      <c r="N143" t="inlineStr">
        <is>
          <t>Adjudicado</t>
        </is>
      </c>
      <c r="O143" t="inlineStr">
        <is>
          <t>GE Healthcare</t>
        </is>
      </c>
      <c r="P143" t="inlineStr">
        <is>
          <t>SIGNA Premier</t>
        </is>
      </c>
      <c r="Q143" t="n">
        <v>1</v>
      </c>
      <c r="R143" t="inlineStr">
        <is>
          <t>Sí</t>
        </is>
      </c>
      <c r="S143" t="inlineStr">
        <is>
          <t>No</t>
        </is>
      </c>
      <c r="T143" t="n">
        <v>3</v>
      </c>
    </row>
    <row r="144">
      <c r="A144" t="inlineStr">
        <is>
          <t>SIE-0032-2024-SERCOP</t>
        </is>
      </c>
      <c r="B144" t="inlineStr">
        <is>
          <t>Ecuador</t>
        </is>
      </c>
      <c r="C144" t="inlineStr">
        <is>
          <t>SERCOP</t>
        </is>
      </c>
      <c r="D144" t="inlineStr">
        <is>
          <t>Pichincha</t>
        </is>
      </c>
      <c r="E144" t="inlineStr">
        <is>
          <t>Hospital General IESS Riobamba</t>
        </is>
      </c>
      <c r="F144" t="inlineStr">
        <is>
          <t>Tomógrafo CT 128 cortes</t>
        </is>
      </c>
      <c r="G144" t="inlineStr">
        <is>
          <t>CT</t>
        </is>
      </c>
      <c r="H144" t="inlineStr">
        <is>
          <t>2024-05-02</t>
        </is>
      </c>
      <c r="I144" t="n">
        <v>2024</v>
      </c>
      <c r="J144" t="inlineStr">
        <is>
          <t>Q2</t>
        </is>
      </c>
      <c r="K144" t="inlineStr">
        <is>
          <t>Subasta Inversa Electrónica</t>
        </is>
      </c>
      <c r="L144" t="n">
        <v>604000</v>
      </c>
      <c r="M144" t="inlineStr">
        <is>
          <t>USD</t>
        </is>
      </c>
      <c r="N144" t="inlineStr">
        <is>
          <t>Adjudicado</t>
        </is>
      </c>
      <c r="O144" t="inlineStr">
        <is>
          <t>GE Healthcare</t>
        </is>
      </c>
      <c r="P144" t="inlineStr">
        <is>
          <t>Revolution Ascend</t>
        </is>
      </c>
      <c r="Q144" t="n">
        <v>3</v>
      </c>
      <c r="R144" t="inlineStr">
        <is>
          <t>No</t>
        </is>
      </c>
      <c r="S144" t="inlineStr">
        <is>
          <t>No</t>
        </is>
      </c>
      <c r="U144" t="n">
        <v>128</v>
      </c>
    </row>
    <row r="145">
      <c r="A145" t="inlineStr">
        <is>
          <t>SIE-0043-2024-SERCOP</t>
        </is>
      </c>
      <c r="B145" t="inlineStr">
        <is>
          <t>Ecuador</t>
        </is>
      </c>
      <c r="C145" t="inlineStr">
        <is>
          <t>SERCOP</t>
        </is>
      </c>
      <c r="D145" t="inlineStr">
        <is>
          <t>Pichincha</t>
        </is>
      </c>
      <c r="E145" t="inlineStr">
        <is>
          <t>Hospital del IESS Ceibos</t>
        </is>
      </c>
      <c r="F145" t="inlineStr">
        <is>
          <t>Tomógrafo CT 128 cortes</t>
        </is>
      </c>
      <c r="G145" t="inlineStr">
        <is>
          <t>CT</t>
        </is>
      </c>
      <c r="H145" t="inlineStr">
        <is>
          <t>2024-08-04</t>
        </is>
      </c>
      <c r="I145" t="n">
        <v>2024</v>
      </c>
      <c r="J145" t="inlineStr">
        <is>
          <t>Q3</t>
        </is>
      </c>
      <c r="K145" t="inlineStr">
        <is>
          <t>Menor Cuantía</t>
        </is>
      </c>
      <c r="L145" t="n">
        <v>537000</v>
      </c>
      <c r="M145" t="inlineStr">
        <is>
          <t>USD</t>
        </is>
      </c>
      <c r="N145" t="inlineStr">
        <is>
          <t>Adjudicado</t>
        </is>
      </c>
      <c r="O145" t="inlineStr">
        <is>
          <t>Philips Healthcare</t>
        </is>
      </c>
      <c r="P145" t="inlineStr">
        <is>
          <t>Incisive CT 128</t>
        </is>
      </c>
      <c r="Q145" t="n">
        <v>1</v>
      </c>
      <c r="R145" t="inlineStr">
        <is>
          <t>Sí</t>
        </is>
      </c>
      <c r="S145" t="inlineStr">
        <is>
          <t>No</t>
        </is>
      </c>
      <c r="U145" t="n">
        <v>128</v>
      </c>
    </row>
    <row r="146">
      <c r="A146" t="inlineStr">
        <is>
          <t>LP-0034-2024-SEACE</t>
        </is>
      </c>
      <c r="B146" t="inlineStr">
        <is>
          <t>Perú</t>
        </is>
      </c>
      <c r="C146" t="inlineStr">
        <is>
          <t>SEACE</t>
        </is>
      </c>
      <c r="D146" t="inlineStr">
        <is>
          <t>Arequipa</t>
        </is>
      </c>
      <c r="E146" t="inlineStr">
        <is>
          <t>Hospital Nacional Alberto Sabogal Sologuren (EsSalud)</t>
        </is>
      </c>
      <c r="F146" t="inlineStr">
        <is>
          <t>Resonancia Magnética 3T</t>
        </is>
      </c>
      <c r="G146" t="inlineStr">
        <is>
          <t>MR</t>
        </is>
      </c>
      <c r="H146" t="inlineStr">
        <is>
          <t>2024-08-13</t>
        </is>
      </c>
      <c r="I146" t="n">
        <v>2024</v>
      </c>
      <c r="J146" t="inlineStr">
        <is>
          <t>Q3</t>
        </is>
      </c>
      <c r="K146" t="inlineStr">
        <is>
          <t>Licitación Pública</t>
        </is>
      </c>
      <c r="L146" t="n">
        <v>2092000</v>
      </c>
      <c r="M146" t="inlineStr">
        <is>
          <t>USD</t>
        </is>
      </c>
      <c r="N146" t="inlineStr">
        <is>
          <t>Adjudicado</t>
        </is>
      </c>
      <c r="O146" t="inlineStr">
        <is>
          <t>Philips Healthcare</t>
        </is>
      </c>
      <c r="P146" t="inlineStr">
        <is>
          <t>Ingenia Elition</t>
        </is>
      </c>
      <c r="Q146" t="n">
        <v>4</v>
      </c>
      <c r="R146" t="inlineStr">
        <is>
          <t>Sí</t>
        </is>
      </c>
      <c r="S146" t="inlineStr">
        <is>
          <t>No</t>
        </is>
      </c>
      <c r="T146" t="n">
        <v>3</v>
      </c>
    </row>
    <row r="147">
      <c r="A147" t="inlineStr">
        <is>
          <t>LP-0111-2024-SEACE</t>
        </is>
      </c>
      <c r="B147" t="inlineStr">
        <is>
          <t>Perú</t>
        </is>
      </c>
      <c r="C147" t="inlineStr">
        <is>
          <t>SEACE</t>
        </is>
      </c>
      <c r="D147" t="inlineStr">
        <is>
          <t>Lambayeque</t>
        </is>
      </c>
      <c r="E147" t="inlineStr">
        <is>
          <t>Hospital Nacional Cayetano Heredia (MINSA)</t>
        </is>
      </c>
      <c r="F147" t="inlineStr">
        <is>
          <t>Tomógrafo CT 128 cortes</t>
        </is>
      </c>
      <c r="G147" t="inlineStr">
        <is>
          <t>CT</t>
        </is>
      </c>
      <c r="H147" t="inlineStr">
        <is>
          <t>2024-08-21</t>
        </is>
      </c>
      <c r="I147" t="n">
        <v>2024</v>
      </c>
      <c r="J147" t="inlineStr">
        <is>
          <t>Q3</t>
        </is>
      </c>
      <c r="K147" t="inlineStr">
        <is>
          <t>Licitación Pública</t>
        </is>
      </c>
      <c r="L147" t="n">
        <v>635000</v>
      </c>
      <c r="M147" t="inlineStr">
        <is>
          <t>USD</t>
        </is>
      </c>
      <c r="N147" t="inlineStr">
        <is>
          <t>Adjudicado</t>
        </is>
      </c>
      <c r="O147" t="inlineStr">
        <is>
          <t>GE Healthcare</t>
        </is>
      </c>
      <c r="P147" t="inlineStr">
        <is>
          <t>Revolution Ascend</t>
        </is>
      </c>
      <c r="Q147" t="n">
        <v>3</v>
      </c>
      <c r="R147" t="inlineStr">
        <is>
          <t>Sí</t>
        </is>
      </c>
      <c r="S147" t="inlineStr">
        <is>
          <t>No</t>
        </is>
      </c>
      <c r="U147" t="n">
        <v>128</v>
      </c>
    </row>
    <row r="148">
      <c r="A148" t="inlineStr">
        <is>
          <t>LP-0119-2024-SEACE</t>
        </is>
      </c>
      <c r="B148" t="inlineStr">
        <is>
          <t>Perú</t>
        </is>
      </c>
      <c r="C148" t="inlineStr">
        <is>
          <t>SEACE</t>
        </is>
      </c>
      <c r="D148" t="inlineStr">
        <is>
          <t>Junín</t>
        </is>
      </c>
      <c r="E148" t="inlineStr">
        <is>
          <t>Instituto Nacional de Enfermedades Neoplásicas (INEN)</t>
        </is>
      </c>
      <c r="F148" t="inlineStr">
        <is>
          <t>Tomógrafo CT 128 cortes</t>
        </is>
      </c>
      <c r="G148" t="inlineStr">
        <is>
          <t>CT</t>
        </is>
      </c>
      <c r="H148" t="inlineStr">
        <is>
          <t>2024-08-23</t>
        </is>
      </c>
      <c r="I148" t="n">
        <v>2024</v>
      </c>
      <c r="J148" t="inlineStr">
        <is>
          <t>Q3</t>
        </is>
      </c>
      <c r="K148" t="inlineStr">
        <is>
          <t>Subasta Inversa Electrónica</t>
        </is>
      </c>
      <c r="L148" t="n">
        <v>574000</v>
      </c>
      <c r="M148" t="inlineStr">
        <is>
          <t>USD</t>
        </is>
      </c>
      <c r="N148" t="inlineStr">
        <is>
          <t>Adjudicado</t>
        </is>
      </c>
      <c r="O148" t="inlineStr">
        <is>
          <t>GE Healthcare</t>
        </is>
      </c>
      <c r="P148" t="inlineStr">
        <is>
          <t>Revolution Ascend</t>
        </is>
      </c>
      <c r="Q148" t="n">
        <v>1</v>
      </c>
      <c r="R148" t="inlineStr">
        <is>
          <t>Sí</t>
        </is>
      </c>
      <c r="S148" t="inlineStr">
        <is>
          <t>No</t>
        </is>
      </c>
      <c r="U148" t="n">
        <v>128</v>
      </c>
    </row>
    <row r="149">
      <c r="A149" t="inlineStr">
        <is>
          <t>SIE-0049-2024-SERCOP</t>
        </is>
      </c>
      <c r="B149" t="inlineStr">
        <is>
          <t>Ecuador</t>
        </is>
      </c>
      <c r="C149" t="inlineStr">
        <is>
          <t>SERCOP</t>
        </is>
      </c>
      <c r="D149" t="inlineStr">
        <is>
          <t>Pichincha</t>
        </is>
      </c>
      <c r="E149" t="inlineStr">
        <is>
          <t>Ministerio de Salud Pública - Hospital Eugenio Espejo</t>
        </is>
      </c>
      <c r="F149" t="inlineStr">
        <is>
          <t>Resonancia Magnética 1.5T</t>
        </is>
      </c>
      <c r="G149" t="inlineStr">
        <is>
          <t>MR</t>
        </is>
      </c>
      <c r="H149" t="inlineStr">
        <is>
          <t>2024-08-29</t>
        </is>
      </c>
      <c r="I149" t="n">
        <v>2024</v>
      </c>
      <c r="J149" t="inlineStr">
        <is>
          <t>Q3</t>
        </is>
      </c>
      <c r="K149" t="inlineStr">
        <is>
          <t>Cotización</t>
        </is>
      </c>
      <c r="L149" t="n">
        <v>905000</v>
      </c>
      <c r="M149" t="inlineStr">
        <is>
          <t>USD</t>
        </is>
      </c>
      <c r="N149" t="inlineStr">
        <is>
          <t>Adjudicado</t>
        </is>
      </c>
      <c r="O149" t="inlineStr">
        <is>
          <t>Siemens Healthineers</t>
        </is>
      </c>
      <c r="P149" t="inlineStr">
        <is>
          <t>MAGNETOM Sola</t>
        </is>
      </c>
      <c r="Q149" t="n">
        <v>3</v>
      </c>
      <c r="R149" t="inlineStr">
        <is>
          <t>No</t>
        </is>
      </c>
      <c r="S149" t="inlineStr">
        <is>
          <t>No</t>
        </is>
      </c>
      <c r="T149" t="n">
        <v>1.5</v>
      </c>
    </row>
    <row r="150">
      <c r="A150" t="inlineStr">
        <is>
          <t>SIE-0059-2024-SERCOP</t>
        </is>
      </c>
      <c r="B150" t="inlineStr">
        <is>
          <t>Ecuador</t>
        </is>
      </c>
      <c r="C150" t="inlineStr">
        <is>
          <t>SERCOP</t>
        </is>
      </c>
      <c r="D150" t="inlineStr">
        <is>
          <t>Tungurahua</t>
        </is>
      </c>
      <c r="E150" t="inlineStr">
        <is>
          <t>Hospital de Especialidades Fuerzas Armadas N°1</t>
        </is>
      </c>
      <c r="F150" t="inlineStr">
        <is>
          <t>Tomógrafo CT 64 cortes</t>
        </is>
      </c>
      <c r="G150" t="inlineStr">
        <is>
          <t>CT</t>
        </is>
      </c>
      <c r="H150" t="inlineStr">
        <is>
          <t>2024-09-02</t>
        </is>
      </c>
      <c r="I150" t="n">
        <v>2024</v>
      </c>
      <c r="J150" t="inlineStr">
        <is>
          <t>Q3</t>
        </is>
      </c>
      <c r="K150" t="inlineStr">
        <is>
          <t>Subasta Inversa Electrónica</t>
        </is>
      </c>
      <c r="L150" t="n">
        <v>369000</v>
      </c>
      <c r="M150" t="inlineStr">
        <is>
          <t>USD</t>
        </is>
      </c>
      <c r="N150" t="inlineStr">
        <is>
          <t>Adjudicado</t>
        </is>
      </c>
      <c r="O150" t="inlineStr">
        <is>
          <t>Philips Healthcare</t>
        </is>
      </c>
      <c r="P150" t="inlineStr">
        <is>
          <t>Incisive CT</t>
        </is>
      </c>
      <c r="Q150" t="n">
        <v>3</v>
      </c>
      <c r="R150" t="inlineStr">
        <is>
          <t>No</t>
        </is>
      </c>
      <c r="S150" t="inlineStr">
        <is>
          <t>Sí</t>
        </is>
      </c>
      <c r="U150" t="n">
        <v>64</v>
      </c>
    </row>
    <row r="151">
      <c r="A151" t="inlineStr">
        <is>
          <t>SIE-0003-2024-SERCOP</t>
        </is>
      </c>
      <c r="B151" t="inlineStr">
        <is>
          <t>Ecuador</t>
        </is>
      </c>
      <c r="C151" t="inlineStr">
        <is>
          <t>SERCOP</t>
        </is>
      </c>
      <c r="D151" t="inlineStr">
        <is>
          <t>Guayas</t>
        </is>
      </c>
      <c r="E151" t="inlineStr">
        <is>
          <t>Hospital de Especialidades Fuerzas Armadas N°1</t>
        </is>
      </c>
      <c r="F151" t="inlineStr">
        <is>
          <t>Tomógrafo CT 64 cortes</t>
        </is>
      </c>
      <c r="G151" t="inlineStr">
        <is>
          <t>CT</t>
        </is>
      </c>
      <c r="H151" t="inlineStr">
        <is>
          <t>2024-09-06</t>
        </is>
      </c>
      <c r="I151" t="n">
        <v>2024</v>
      </c>
      <c r="J151" t="inlineStr">
        <is>
          <t>Q3</t>
        </is>
      </c>
      <c r="K151" t="inlineStr">
        <is>
          <t>Menor Cuantía</t>
        </is>
      </c>
      <c r="L151" t="n">
        <v>342000</v>
      </c>
      <c r="M151" t="inlineStr">
        <is>
          <t>USD</t>
        </is>
      </c>
      <c r="N151" t="inlineStr">
        <is>
          <t>Adjudicado</t>
        </is>
      </c>
      <c r="O151" t="inlineStr">
        <is>
          <t>Canon Medical</t>
        </is>
      </c>
      <c r="P151" t="inlineStr">
        <is>
          <t>Aquilion Lightning</t>
        </is>
      </c>
      <c r="Q151" t="n">
        <v>2</v>
      </c>
      <c r="R151" t="inlineStr">
        <is>
          <t>No</t>
        </is>
      </c>
      <c r="S151" t="inlineStr">
        <is>
          <t>No</t>
        </is>
      </c>
      <c r="U151" t="n">
        <v>64</v>
      </c>
    </row>
    <row r="152">
      <c r="A152" t="inlineStr">
        <is>
          <t>LP-0101-2024-SEACE</t>
        </is>
      </c>
      <c r="B152" t="inlineStr">
        <is>
          <t>Perú</t>
        </is>
      </c>
      <c r="C152" t="inlineStr">
        <is>
          <t>SEACE</t>
        </is>
      </c>
      <c r="D152" t="inlineStr">
        <is>
          <t>Lima</t>
        </is>
      </c>
      <c r="E152" t="inlineStr">
        <is>
          <t>Hospital Nacional Cayetano Heredia (MINSA)</t>
        </is>
      </c>
      <c r="F152" t="inlineStr">
        <is>
          <t>Tomógrafo CT 128 cortes</t>
        </is>
      </c>
      <c r="G152" t="inlineStr">
        <is>
          <t>CT</t>
        </is>
      </c>
      <c r="H152" t="inlineStr">
        <is>
          <t>2024-09-12</t>
        </is>
      </c>
      <c r="I152" t="n">
        <v>2024</v>
      </c>
      <c r="J152" t="inlineStr">
        <is>
          <t>Q3</t>
        </is>
      </c>
      <c r="K152" t="inlineStr">
        <is>
          <t>Licitación Pública</t>
        </is>
      </c>
      <c r="L152" t="n">
        <v>588000</v>
      </c>
      <c r="M152" t="inlineStr">
        <is>
          <t>USD</t>
        </is>
      </c>
      <c r="N152" t="inlineStr">
        <is>
          <t>Adjudicado</t>
        </is>
      </c>
      <c r="O152" t="inlineStr">
        <is>
          <t>GE Healthcare</t>
        </is>
      </c>
      <c r="P152" t="inlineStr">
        <is>
          <t>Revolution Ascend</t>
        </is>
      </c>
      <c r="Q152" t="n">
        <v>4</v>
      </c>
      <c r="R152" t="inlineStr">
        <is>
          <t>No</t>
        </is>
      </c>
      <c r="S152" t="inlineStr">
        <is>
          <t>No</t>
        </is>
      </c>
      <c r="U152" t="n">
        <v>128</v>
      </c>
    </row>
    <row r="153">
      <c r="A153" t="inlineStr">
        <is>
          <t>SIE-0025-2024-SERCOP</t>
        </is>
      </c>
      <c r="B153" t="inlineStr">
        <is>
          <t>Ecuador</t>
        </is>
      </c>
      <c r="C153" t="inlineStr">
        <is>
          <t>SERCOP</t>
        </is>
      </c>
      <c r="D153" t="inlineStr">
        <is>
          <t>Azuay</t>
        </is>
      </c>
      <c r="E153" t="inlineStr">
        <is>
          <t>Hospital General IESS Riobamba</t>
        </is>
      </c>
      <c r="F153" t="inlineStr">
        <is>
          <t>Tomógrafo CT 64 cortes</t>
        </is>
      </c>
      <c r="G153" t="inlineStr">
        <is>
          <t>CT</t>
        </is>
      </c>
      <c r="H153" t="inlineStr">
        <is>
          <t>2024-09-15</t>
        </is>
      </c>
      <c r="I153" t="n">
        <v>2024</v>
      </c>
      <c r="J153" t="inlineStr">
        <is>
          <t>Q3</t>
        </is>
      </c>
      <c r="K153" t="inlineStr">
        <is>
          <t>Licitación</t>
        </is>
      </c>
      <c r="L153" t="n">
        <v>287000</v>
      </c>
      <c r="M153" t="inlineStr">
        <is>
          <t>USD</t>
        </is>
      </c>
      <c r="N153" t="inlineStr">
        <is>
          <t>Adjudicado</t>
        </is>
      </c>
      <c r="O153" t="inlineStr">
        <is>
          <t>Siemens Healthineers</t>
        </is>
      </c>
      <c r="P153" t="inlineStr">
        <is>
          <t>SOMATOM go.Up</t>
        </is>
      </c>
      <c r="Q153" t="n">
        <v>1</v>
      </c>
      <c r="R153" t="inlineStr">
        <is>
          <t>Sí</t>
        </is>
      </c>
      <c r="S153" t="inlineStr">
        <is>
          <t>Sí</t>
        </is>
      </c>
      <c r="U153" t="n">
        <v>64</v>
      </c>
    </row>
    <row r="154">
      <c r="A154" t="inlineStr">
        <is>
          <t>SIE-0034-2024-SERCOP</t>
        </is>
      </c>
      <c r="B154" t="inlineStr">
        <is>
          <t>Ecuador</t>
        </is>
      </c>
      <c r="C154" t="inlineStr">
        <is>
          <t>SERCOP</t>
        </is>
      </c>
      <c r="D154" t="inlineStr">
        <is>
          <t>Guayas</t>
        </is>
      </c>
      <c r="E154" t="inlineStr">
        <is>
          <t>Ministerio de Salud Pública - Hospital Eugenio Espejo</t>
        </is>
      </c>
      <c r="F154" t="inlineStr">
        <is>
          <t>Tomógrafo CT 64 cortes</t>
        </is>
      </c>
      <c r="G154" t="inlineStr">
        <is>
          <t>CT</t>
        </is>
      </c>
      <c r="H154" t="inlineStr">
        <is>
          <t>2024-10-11</t>
        </is>
      </c>
      <c r="I154" t="n">
        <v>2024</v>
      </c>
      <c r="J154" t="inlineStr">
        <is>
          <t>Q4</t>
        </is>
      </c>
      <c r="K154" t="inlineStr">
        <is>
          <t>Subasta Inversa Electrónica</t>
        </is>
      </c>
      <c r="L154" t="n">
        <v>346000</v>
      </c>
      <c r="M154" t="inlineStr">
        <is>
          <t>USD</t>
        </is>
      </c>
      <c r="N154" t="inlineStr">
        <is>
          <t>Adjudicado</t>
        </is>
      </c>
      <c r="O154" t="inlineStr">
        <is>
          <t>Canon Medical</t>
        </is>
      </c>
      <c r="P154" t="inlineStr">
        <is>
          <t>Aquilion Lightning</t>
        </is>
      </c>
      <c r="Q154" t="n">
        <v>1</v>
      </c>
      <c r="R154" t="inlineStr">
        <is>
          <t>No</t>
        </is>
      </c>
      <c r="S154" t="inlineStr">
        <is>
          <t>No</t>
        </is>
      </c>
      <c r="U154" t="n">
        <v>64</v>
      </c>
    </row>
    <row r="155">
      <c r="A155" t="inlineStr">
        <is>
          <t>LP-0115-2024-SEACE</t>
        </is>
      </c>
      <c r="B155" t="inlineStr">
        <is>
          <t>Perú</t>
        </is>
      </c>
      <c r="C155" t="inlineStr">
        <is>
          <t>SEACE</t>
        </is>
      </c>
      <c r="D155" t="inlineStr">
        <is>
          <t>Ica</t>
        </is>
      </c>
      <c r="E155" t="inlineStr">
        <is>
          <t>Hospital Regional de Lambayeque</t>
        </is>
      </c>
      <c r="F155" t="inlineStr">
        <is>
          <t>Resonancia Magnética 1.5T</t>
        </is>
      </c>
      <c r="G155" t="inlineStr">
        <is>
          <t>MR</t>
        </is>
      </c>
      <c r="H155" t="inlineStr">
        <is>
          <t>2024-10-23</t>
        </is>
      </c>
      <c r="I155" t="n">
        <v>2024</v>
      </c>
      <c r="J155" t="inlineStr">
        <is>
          <t>Q4</t>
        </is>
      </c>
      <c r="K155" t="inlineStr">
        <is>
          <t>Licitación Pública</t>
        </is>
      </c>
      <c r="L155" t="n">
        <v>1009000</v>
      </c>
      <c r="M155" t="inlineStr">
        <is>
          <t>USD</t>
        </is>
      </c>
      <c r="N155" t="inlineStr">
        <is>
          <t>Adjudicado</t>
        </is>
      </c>
      <c r="O155" t="inlineStr">
        <is>
          <t>Philips Healthcare</t>
        </is>
      </c>
      <c r="P155" t="inlineStr">
        <is>
          <t>Ingenia 1.5T</t>
        </is>
      </c>
      <c r="Q155" t="n">
        <v>5</v>
      </c>
      <c r="R155" t="inlineStr">
        <is>
          <t>No</t>
        </is>
      </c>
      <c r="S155" t="inlineStr">
        <is>
          <t>No</t>
        </is>
      </c>
      <c r="T155" t="n">
        <v>1.5</v>
      </c>
    </row>
    <row r="156">
      <c r="A156" t="inlineStr">
        <is>
          <t>SIE-0054-2024-SERCOP</t>
        </is>
      </c>
      <c r="B156" t="inlineStr">
        <is>
          <t>Ecuador</t>
        </is>
      </c>
      <c r="C156" t="inlineStr">
        <is>
          <t>SERCOP</t>
        </is>
      </c>
      <c r="D156" t="inlineStr">
        <is>
          <t>Guayas</t>
        </is>
      </c>
      <c r="E156" t="inlineStr">
        <is>
          <t>Ministerio de Salud Pública - Hospital Eugenio Espejo</t>
        </is>
      </c>
      <c r="F156" t="inlineStr">
        <is>
          <t>Tomógrafo CT 64 cortes</t>
        </is>
      </c>
      <c r="G156" t="inlineStr">
        <is>
          <t>CT</t>
        </is>
      </c>
      <c r="H156" t="inlineStr">
        <is>
          <t>2024-10-31</t>
        </is>
      </c>
      <c r="I156" t="n">
        <v>2024</v>
      </c>
      <c r="J156" t="inlineStr">
        <is>
          <t>Q4</t>
        </is>
      </c>
      <c r="K156" t="inlineStr">
        <is>
          <t>Subasta Inversa Electrónica</t>
        </is>
      </c>
      <c r="L156" t="n">
        <v>399000</v>
      </c>
      <c r="M156" t="inlineStr">
        <is>
          <t>USD</t>
        </is>
      </c>
      <c r="N156" t="inlineStr">
        <is>
          <t>Adjudicado</t>
        </is>
      </c>
      <c r="O156" t="inlineStr">
        <is>
          <t>Siemens Healthineers</t>
        </is>
      </c>
      <c r="P156" t="inlineStr">
        <is>
          <t>SOMATOM go.Up</t>
        </is>
      </c>
      <c r="Q156" t="n">
        <v>3</v>
      </c>
      <c r="R156" t="inlineStr">
        <is>
          <t>Sí</t>
        </is>
      </c>
      <c r="S156" t="inlineStr">
        <is>
          <t>No</t>
        </is>
      </c>
      <c r="U156" t="n">
        <v>64</v>
      </c>
    </row>
    <row r="157">
      <c r="A157" t="inlineStr">
        <is>
          <t>LP-0058-2024-SEACE</t>
        </is>
      </c>
      <c r="B157" t="inlineStr">
        <is>
          <t>Perú</t>
        </is>
      </c>
      <c r="C157" t="inlineStr">
        <is>
          <t>SEACE</t>
        </is>
      </c>
      <c r="D157" t="inlineStr">
        <is>
          <t>Junín</t>
        </is>
      </c>
      <c r="E157" t="inlineStr">
        <is>
          <t>Hospital Nacional Dos de Mayo (MINSA)</t>
        </is>
      </c>
      <c r="F157" t="inlineStr">
        <is>
          <t>Tomógrafo CT 64 cortes</t>
        </is>
      </c>
      <c r="G157" t="inlineStr">
        <is>
          <t>CT</t>
        </is>
      </c>
      <c r="H157" t="inlineStr">
        <is>
          <t>2024-11-18</t>
        </is>
      </c>
      <c r="I157" t="n">
        <v>2024</v>
      </c>
      <c r="J157" t="inlineStr">
        <is>
          <t>Q4</t>
        </is>
      </c>
      <c r="K157" t="inlineStr">
        <is>
          <t>Subasta Inversa Electrónica</t>
        </is>
      </c>
      <c r="L157" t="n">
        <v>360000</v>
      </c>
      <c r="M157" t="inlineStr">
        <is>
          <t>USD</t>
        </is>
      </c>
      <c r="N157" t="inlineStr">
        <is>
          <t>Adjudicado</t>
        </is>
      </c>
      <c r="O157" t="inlineStr">
        <is>
          <t>Canon Medical</t>
        </is>
      </c>
      <c r="P157" t="inlineStr">
        <is>
          <t>Aquilion Lightning</t>
        </is>
      </c>
      <c r="Q157" t="n">
        <v>4</v>
      </c>
      <c r="R157" t="inlineStr">
        <is>
          <t>Sí</t>
        </is>
      </c>
      <c r="S157" t="inlineStr">
        <is>
          <t>No</t>
        </is>
      </c>
      <c r="U157" t="n">
        <v>64</v>
      </c>
    </row>
    <row r="158">
      <c r="A158" t="inlineStr">
        <is>
          <t>SIE-0011-2024-SERCOP</t>
        </is>
      </c>
      <c r="B158" t="inlineStr">
        <is>
          <t>Ecuador</t>
        </is>
      </c>
      <c r="C158" t="inlineStr">
        <is>
          <t>SERCOP</t>
        </is>
      </c>
      <c r="D158" t="inlineStr">
        <is>
          <t>Azuay</t>
        </is>
      </c>
      <c r="E158" t="inlineStr">
        <is>
          <t>SOLCA Núcleo de Quito</t>
        </is>
      </c>
      <c r="F158" t="inlineStr">
        <is>
          <t>Resonancia Magnética 1.5T</t>
        </is>
      </c>
      <c r="G158" t="inlineStr">
        <is>
          <t>MR</t>
        </is>
      </c>
      <c r="H158" t="inlineStr">
        <is>
          <t>2024-11-28</t>
        </is>
      </c>
      <c r="I158" t="n">
        <v>2024</v>
      </c>
      <c r="J158" t="inlineStr">
        <is>
          <t>Q4</t>
        </is>
      </c>
      <c r="K158" t="inlineStr">
        <is>
          <t>Cotización</t>
        </is>
      </c>
      <c r="L158" t="n">
        <v>812000</v>
      </c>
      <c r="M158" t="inlineStr">
        <is>
          <t>USD</t>
        </is>
      </c>
      <c r="N158" t="inlineStr">
        <is>
          <t>Nulo</t>
        </is>
      </c>
      <c r="Q158" t="n">
        <v>3</v>
      </c>
      <c r="R158" t="inlineStr">
        <is>
          <t>Sí</t>
        </is>
      </c>
      <c r="S158" t="inlineStr">
        <is>
          <t>No</t>
        </is>
      </c>
      <c r="T158" t="n">
        <v>1.5</v>
      </c>
    </row>
    <row r="159">
      <c r="A159" t="inlineStr">
        <is>
          <t>SIE-0019-2024-SERCOP</t>
        </is>
      </c>
      <c r="B159" t="inlineStr">
        <is>
          <t>Ecuador</t>
        </is>
      </c>
      <c r="C159" t="inlineStr">
        <is>
          <t>SERCOP</t>
        </is>
      </c>
      <c r="D159" t="inlineStr">
        <is>
          <t>Guayas</t>
        </is>
      </c>
      <c r="E159" t="inlineStr">
        <is>
          <t>Hospital Teodoro Maldonado Carbo (IESS Guayaquil)</t>
        </is>
      </c>
      <c r="F159" t="inlineStr">
        <is>
          <t>Resonancia Magnética 3T</t>
        </is>
      </c>
      <c r="G159" t="inlineStr">
        <is>
          <t>MR</t>
        </is>
      </c>
      <c r="H159" t="inlineStr">
        <is>
          <t>2024-12-09</t>
        </is>
      </c>
      <c r="I159" t="n">
        <v>2024</v>
      </c>
      <c r="J159" t="inlineStr">
        <is>
          <t>Q4</t>
        </is>
      </c>
      <c r="K159" t="inlineStr">
        <is>
          <t>Subasta Inversa Electrónica</t>
        </is>
      </c>
      <c r="L159" t="n">
        <v>1859000</v>
      </c>
      <c r="M159" t="inlineStr">
        <is>
          <t>USD</t>
        </is>
      </c>
      <c r="N159" t="inlineStr">
        <is>
          <t>Adjudicado</t>
        </is>
      </c>
      <c r="O159" t="inlineStr">
        <is>
          <t>GE Healthcare</t>
        </is>
      </c>
      <c r="P159" t="inlineStr">
        <is>
          <t>SIGNA Premier</t>
        </is>
      </c>
      <c r="Q159" t="n">
        <v>2</v>
      </c>
      <c r="R159" t="inlineStr">
        <is>
          <t>Sí</t>
        </is>
      </c>
      <c r="S159" t="inlineStr">
        <is>
          <t>Sí</t>
        </is>
      </c>
      <c r="T159" t="n">
        <v>3</v>
      </c>
    </row>
    <row r="160">
      <c r="A160" t="inlineStr">
        <is>
          <t>LP-0075-2024-SEACE</t>
        </is>
      </c>
      <c r="B160" t="inlineStr">
        <is>
          <t>Perú</t>
        </is>
      </c>
      <c r="C160" t="inlineStr">
        <is>
          <t>SEACE</t>
        </is>
      </c>
      <c r="D160" t="inlineStr">
        <is>
          <t>Lima</t>
        </is>
      </c>
      <c r="E160" t="inlineStr">
        <is>
          <t>Hospital Nacional Cayetano Heredia (MINSA)</t>
        </is>
      </c>
      <c r="F160" t="inlineStr">
        <is>
          <t>Resonancia Magnética 3T</t>
        </is>
      </c>
      <c r="G160" t="inlineStr">
        <is>
          <t>MR</t>
        </is>
      </c>
      <c r="H160" t="inlineStr">
        <is>
          <t>2024-12-16</t>
        </is>
      </c>
      <c r="I160" t="n">
        <v>2024</v>
      </c>
      <c r="J160" t="inlineStr">
        <is>
          <t>Q4</t>
        </is>
      </c>
      <c r="K160" t="inlineStr">
        <is>
          <t>Subasta Inversa Electrónica</t>
        </is>
      </c>
      <c r="L160" t="n">
        <v>1739000</v>
      </c>
      <c r="M160" t="inlineStr">
        <is>
          <t>USD</t>
        </is>
      </c>
      <c r="N160" t="inlineStr">
        <is>
          <t>Desierto</t>
        </is>
      </c>
      <c r="Q160" t="n">
        <v>0</v>
      </c>
      <c r="R160" t="inlineStr">
        <is>
          <t>Sí</t>
        </is>
      </c>
      <c r="S160" t="inlineStr">
        <is>
          <t>No</t>
        </is>
      </c>
      <c r="T160" t="n">
        <v>3</v>
      </c>
    </row>
    <row r="161">
      <c r="A161" t="inlineStr">
        <is>
          <t>LP-0110-2025-SEACE</t>
        </is>
      </c>
      <c r="B161" t="inlineStr">
        <is>
          <t>Perú</t>
        </is>
      </c>
      <c r="C161" t="inlineStr">
        <is>
          <t>SEACE</t>
        </is>
      </c>
      <c r="D161" t="inlineStr">
        <is>
          <t>Cusco</t>
        </is>
      </c>
      <c r="E161" t="inlineStr">
        <is>
          <t>Hospital Nacional Carlos Alberto Seguín Escobedo (EsSalud Arequipa)</t>
        </is>
      </c>
      <c r="F161" t="inlineStr">
        <is>
          <t>Tomógrafo CT 128 cortes</t>
        </is>
      </c>
      <c r="G161" t="inlineStr">
        <is>
          <t>CT</t>
        </is>
      </c>
      <c r="H161" t="inlineStr">
        <is>
          <t>2025-02-01</t>
        </is>
      </c>
      <c r="I161" t="n">
        <v>2025</v>
      </c>
      <c r="J161" t="inlineStr">
        <is>
          <t>Q1</t>
        </is>
      </c>
      <c r="K161" t="inlineStr">
        <is>
          <t>Licitación Pública</t>
        </is>
      </c>
      <c r="L161" t="n">
        <v>564000</v>
      </c>
      <c r="M161" t="inlineStr">
        <is>
          <t>USD</t>
        </is>
      </c>
      <c r="N161" t="inlineStr">
        <is>
          <t>Adjudicado</t>
        </is>
      </c>
      <c r="O161" t="inlineStr">
        <is>
          <t>Philips Healthcare</t>
        </is>
      </c>
      <c r="P161" t="inlineStr">
        <is>
          <t>Incisive CT 128</t>
        </is>
      </c>
      <c r="Q161" t="n">
        <v>5</v>
      </c>
      <c r="R161" t="inlineStr">
        <is>
          <t>No</t>
        </is>
      </c>
      <c r="S161" t="inlineStr">
        <is>
          <t>Sí</t>
        </is>
      </c>
      <c r="U161" t="n">
        <v>128</v>
      </c>
    </row>
    <row r="162">
      <c r="A162" t="inlineStr">
        <is>
          <t>LP-0012-2025-SEACE</t>
        </is>
      </c>
      <c r="B162" t="inlineStr">
        <is>
          <t>Perú</t>
        </is>
      </c>
      <c r="C162" t="inlineStr">
        <is>
          <t>SEACE</t>
        </is>
      </c>
      <c r="D162" t="inlineStr">
        <is>
          <t>La Libertad</t>
        </is>
      </c>
      <c r="E162" t="inlineStr">
        <is>
          <t>Hospital Nacional Carlos Alberto Seguín Escobedo (EsSalud Arequipa)</t>
        </is>
      </c>
      <c r="F162" t="inlineStr">
        <is>
          <t>Resonancia Magnética 1.5T</t>
        </is>
      </c>
      <c r="G162" t="inlineStr">
        <is>
          <t>MR</t>
        </is>
      </c>
      <c r="H162" t="inlineStr">
        <is>
          <t>2025-02-01</t>
        </is>
      </c>
      <c r="I162" t="n">
        <v>2025</v>
      </c>
      <c r="J162" t="inlineStr">
        <is>
          <t>Q1</t>
        </is>
      </c>
      <c r="K162" t="inlineStr">
        <is>
          <t>Adjudicación Simplificada</t>
        </is>
      </c>
      <c r="L162" t="n">
        <v>963000</v>
      </c>
      <c r="M162" t="inlineStr">
        <is>
          <t>USD</t>
        </is>
      </c>
      <c r="N162" t="inlineStr">
        <is>
          <t>Adjudicado</t>
        </is>
      </c>
      <c r="O162" t="inlineStr">
        <is>
          <t>Philips Healthcare</t>
        </is>
      </c>
      <c r="P162" t="inlineStr">
        <is>
          <t>Ingenia 1.5T</t>
        </is>
      </c>
      <c r="Q162" t="n">
        <v>5</v>
      </c>
      <c r="R162" t="inlineStr">
        <is>
          <t>Sí</t>
        </is>
      </c>
      <c r="S162" t="inlineStr">
        <is>
          <t>No</t>
        </is>
      </c>
      <c r="T162" t="n">
        <v>1.5</v>
      </c>
    </row>
    <row r="163">
      <c r="A163" t="inlineStr">
        <is>
          <t>LP-0071-2025-SEACE</t>
        </is>
      </c>
      <c r="B163" t="inlineStr">
        <is>
          <t>Perú</t>
        </is>
      </c>
      <c r="C163" t="inlineStr">
        <is>
          <t>SEACE</t>
        </is>
      </c>
      <c r="D163" t="inlineStr">
        <is>
          <t>Arequipa</t>
        </is>
      </c>
      <c r="E163" t="inlineStr">
        <is>
          <t>Hospital Nacional Dos de Mayo (MINSA)</t>
        </is>
      </c>
      <c r="F163" t="inlineStr">
        <is>
          <t>Tomógrafo CT 64 cortes</t>
        </is>
      </c>
      <c r="G163" t="inlineStr">
        <is>
          <t>CT</t>
        </is>
      </c>
      <c r="H163" t="inlineStr">
        <is>
          <t>2025-02-02</t>
        </is>
      </c>
      <c r="I163" t="n">
        <v>2025</v>
      </c>
      <c r="J163" t="inlineStr">
        <is>
          <t>Q1</t>
        </is>
      </c>
      <c r="K163" t="inlineStr">
        <is>
          <t>Adjudicación Simplificada</t>
        </is>
      </c>
      <c r="L163" t="n">
        <v>373000</v>
      </c>
      <c r="M163" t="inlineStr">
        <is>
          <t>USD</t>
        </is>
      </c>
      <c r="N163" t="inlineStr">
        <is>
          <t>Adjudicado</t>
        </is>
      </c>
      <c r="O163" t="inlineStr">
        <is>
          <t>Philips Healthcare</t>
        </is>
      </c>
      <c r="P163" t="inlineStr">
        <is>
          <t>Incisive CT</t>
        </is>
      </c>
      <c r="Q163" t="n">
        <v>4</v>
      </c>
      <c r="R163" t="inlineStr">
        <is>
          <t>Sí</t>
        </is>
      </c>
      <c r="S163" t="inlineStr">
        <is>
          <t>Sí</t>
        </is>
      </c>
      <c r="U163" t="n">
        <v>64</v>
      </c>
    </row>
    <row r="164">
      <c r="A164" t="inlineStr">
        <is>
          <t>LP-0035-2025-SEACE</t>
        </is>
      </c>
      <c r="B164" t="inlineStr">
        <is>
          <t>Perú</t>
        </is>
      </c>
      <c r="C164" t="inlineStr">
        <is>
          <t>SEACE</t>
        </is>
      </c>
      <c r="D164" t="inlineStr">
        <is>
          <t>Arequipa</t>
        </is>
      </c>
      <c r="E164" t="inlineStr">
        <is>
          <t>Hospital Nacional Edgardo Rebagliati Martins (EsSalud)</t>
        </is>
      </c>
      <c r="F164" t="inlineStr">
        <is>
          <t>Resonancia Magnética 3T</t>
        </is>
      </c>
      <c r="G164" t="inlineStr">
        <is>
          <t>MR</t>
        </is>
      </c>
      <c r="H164" t="inlineStr">
        <is>
          <t>2025-02-28</t>
        </is>
      </c>
      <c r="I164" t="n">
        <v>2025</v>
      </c>
      <c r="J164" t="inlineStr">
        <is>
          <t>Q1</t>
        </is>
      </c>
      <c r="K164" t="inlineStr">
        <is>
          <t>Adjudicación Simplificada</t>
        </is>
      </c>
      <c r="L164" t="n">
        <v>2053000</v>
      </c>
      <c r="M164" t="inlineStr">
        <is>
          <t>USD</t>
        </is>
      </c>
      <c r="N164" t="inlineStr">
        <is>
          <t>Adjudicado</t>
        </is>
      </c>
      <c r="O164" t="inlineStr">
        <is>
          <t>Siemens Healthineers</t>
        </is>
      </c>
      <c r="P164" t="inlineStr">
        <is>
          <t>MAGNETOM Vida</t>
        </is>
      </c>
      <c r="Q164" t="n">
        <v>4</v>
      </c>
      <c r="R164" t="inlineStr">
        <is>
          <t>Sí</t>
        </is>
      </c>
      <c r="S164" t="inlineStr">
        <is>
          <t>No</t>
        </is>
      </c>
      <c r="T164" t="n">
        <v>3</v>
      </c>
    </row>
    <row r="165">
      <c r="A165" t="inlineStr">
        <is>
          <t>LP-0007-2025-SEACE</t>
        </is>
      </c>
      <c r="B165" t="inlineStr">
        <is>
          <t>Perú</t>
        </is>
      </c>
      <c r="C165" t="inlineStr">
        <is>
          <t>SEACE</t>
        </is>
      </c>
      <c r="D165" t="inlineStr">
        <is>
          <t>Junín</t>
        </is>
      </c>
      <c r="E165" t="inlineStr">
        <is>
          <t>Hospital Regional de Lambayeque</t>
        </is>
      </c>
      <c r="F165" t="inlineStr">
        <is>
          <t>Tomógrafo CT 256 cortes</t>
        </is>
      </c>
      <c r="G165" t="inlineStr">
        <is>
          <t>CT</t>
        </is>
      </c>
      <c r="H165" t="inlineStr">
        <is>
          <t>2025-03-08</t>
        </is>
      </c>
      <c r="I165" t="n">
        <v>2025</v>
      </c>
      <c r="J165" t="inlineStr">
        <is>
          <t>Q1</t>
        </is>
      </c>
      <c r="K165" t="inlineStr">
        <is>
          <t>Concurso Público</t>
        </is>
      </c>
      <c r="L165" t="n">
        <v>781000</v>
      </c>
      <c r="M165" t="inlineStr">
        <is>
          <t>USD</t>
        </is>
      </c>
      <c r="N165" t="inlineStr">
        <is>
          <t>Adjudicado</t>
        </is>
      </c>
      <c r="O165" t="inlineStr">
        <is>
          <t>Philips Healthcare</t>
        </is>
      </c>
      <c r="P165" t="inlineStr">
        <is>
          <t>IQon Spectral CT</t>
        </is>
      </c>
      <c r="Q165" t="n">
        <v>1</v>
      </c>
      <c r="R165" t="inlineStr">
        <is>
          <t>Sí</t>
        </is>
      </c>
      <c r="S165" t="inlineStr">
        <is>
          <t>Sí</t>
        </is>
      </c>
      <c r="U165" t="n">
        <v>256</v>
      </c>
    </row>
    <row r="166">
      <c r="A166" t="inlineStr">
        <is>
          <t>LP-0045-2025-SEACE</t>
        </is>
      </c>
      <c r="B166" t="inlineStr">
        <is>
          <t>Perú</t>
        </is>
      </c>
      <c r="C166" t="inlineStr">
        <is>
          <t>SEACE</t>
        </is>
      </c>
      <c r="D166" t="inlineStr">
        <is>
          <t>Junín</t>
        </is>
      </c>
      <c r="E166" t="inlineStr">
        <is>
          <t>Instituto Nacional de Enfermedades Neoplásicas (INEN)</t>
        </is>
      </c>
      <c r="F166" t="inlineStr">
        <is>
          <t>Resonancia Magnética 1.5T</t>
        </is>
      </c>
      <c r="G166" t="inlineStr">
        <is>
          <t>MR</t>
        </is>
      </c>
      <c r="H166" t="inlineStr">
        <is>
          <t>2025-03-18</t>
        </is>
      </c>
      <c r="I166" t="n">
        <v>2025</v>
      </c>
      <c r="J166" t="inlineStr">
        <is>
          <t>Q1</t>
        </is>
      </c>
      <c r="K166" t="inlineStr">
        <is>
          <t>Subasta Inversa Electrónica</t>
        </is>
      </c>
      <c r="L166" t="n">
        <v>790000</v>
      </c>
      <c r="M166" t="inlineStr">
        <is>
          <t>USD</t>
        </is>
      </c>
      <c r="N166" t="inlineStr">
        <is>
          <t>Adjudicado</t>
        </is>
      </c>
      <c r="O166" t="inlineStr">
        <is>
          <t>Canon Medical</t>
        </is>
      </c>
      <c r="P166" t="inlineStr">
        <is>
          <t>Vantage Orian</t>
        </is>
      </c>
      <c r="Q166" t="n">
        <v>5</v>
      </c>
      <c r="R166" t="inlineStr">
        <is>
          <t>No</t>
        </is>
      </c>
      <c r="S166" t="inlineStr">
        <is>
          <t>No</t>
        </is>
      </c>
      <c r="T166" t="n">
        <v>1.5</v>
      </c>
    </row>
    <row r="167">
      <c r="A167" t="inlineStr">
        <is>
          <t>LP-0011-2025-SEACE</t>
        </is>
      </c>
      <c r="B167" t="inlineStr">
        <is>
          <t>Perú</t>
        </is>
      </c>
      <c r="C167" t="inlineStr">
        <is>
          <t>SEACE</t>
        </is>
      </c>
      <c r="D167" t="inlineStr">
        <is>
          <t>Junín</t>
        </is>
      </c>
      <c r="E167" t="inlineStr">
        <is>
          <t>Hospital Nacional Edgardo Rebagliati Martins (EsSalud)</t>
        </is>
      </c>
      <c r="F167" t="inlineStr">
        <is>
          <t>Tomógrafo CT 128 cortes</t>
        </is>
      </c>
      <c r="G167" t="inlineStr">
        <is>
          <t>CT</t>
        </is>
      </c>
      <c r="H167" t="inlineStr">
        <is>
          <t>2025-04-01</t>
        </is>
      </c>
      <c r="I167" t="n">
        <v>2025</v>
      </c>
      <c r="J167" t="inlineStr">
        <is>
          <t>Q2</t>
        </is>
      </c>
      <c r="K167" t="inlineStr">
        <is>
          <t>Licitación Pública</t>
        </is>
      </c>
      <c r="L167" t="n">
        <v>571000</v>
      </c>
      <c r="M167" t="inlineStr">
        <is>
          <t>USD</t>
        </is>
      </c>
      <c r="N167" t="inlineStr">
        <is>
          <t>Adjudicado</t>
        </is>
      </c>
      <c r="O167" t="inlineStr">
        <is>
          <t>GE Healthcare</t>
        </is>
      </c>
      <c r="P167" t="inlineStr">
        <is>
          <t>Revolution Ascend</t>
        </is>
      </c>
      <c r="Q167" t="n">
        <v>5</v>
      </c>
      <c r="R167" t="inlineStr">
        <is>
          <t>Sí</t>
        </is>
      </c>
      <c r="S167" t="inlineStr">
        <is>
          <t>No</t>
        </is>
      </c>
      <c r="U167" t="n">
        <v>128</v>
      </c>
    </row>
    <row r="168">
      <c r="A168" t="inlineStr">
        <is>
          <t>LP-0084-2025-SEACE</t>
        </is>
      </c>
      <c r="B168" t="inlineStr">
        <is>
          <t>Perú</t>
        </is>
      </c>
      <c r="C168" t="inlineStr">
        <is>
          <t>SEACE</t>
        </is>
      </c>
      <c r="D168" t="inlineStr">
        <is>
          <t>Cusco</t>
        </is>
      </c>
      <c r="E168" t="inlineStr">
        <is>
          <t>Hospital Regional de Lambayeque</t>
        </is>
      </c>
      <c r="F168" t="inlineStr">
        <is>
          <t>Tomógrafo CT 128 cortes</t>
        </is>
      </c>
      <c r="G168" t="inlineStr">
        <is>
          <t>CT</t>
        </is>
      </c>
      <c r="H168" t="inlineStr">
        <is>
          <t>2025-04-21</t>
        </is>
      </c>
      <c r="I168" t="n">
        <v>2025</v>
      </c>
      <c r="J168" t="inlineStr">
        <is>
          <t>Q2</t>
        </is>
      </c>
      <c r="K168" t="inlineStr">
        <is>
          <t>Adjudicación Simplificada</t>
        </is>
      </c>
      <c r="L168" t="n">
        <v>523000</v>
      </c>
      <c r="M168" t="inlineStr">
        <is>
          <t>USD</t>
        </is>
      </c>
      <c r="N168" t="inlineStr">
        <is>
          <t>Adjudicado</t>
        </is>
      </c>
      <c r="O168" t="inlineStr">
        <is>
          <t>Siemens Healthineers</t>
        </is>
      </c>
      <c r="P168" t="inlineStr">
        <is>
          <t>SOMATOM go.Top</t>
        </is>
      </c>
      <c r="Q168" t="n">
        <v>4</v>
      </c>
      <c r="R168" t="inlineStr">
        <is>
          <t>Sí</t>
        </is>
      </c>
      <c r="S168" t="inlineStr">
        <is>
          <t>Sí</t>
        </is>
      </c>
      <c r="U168" t="n">
        <v>128</v>
      </c>
    </row>
    <row r="169">
      <c r="A169" t="inlineStr">
        <is>
          <t>LP-0112-2025-SEACE</t>
        </is>
      </c>
      <c r="B169" t="inlineStr">
        <is>
          <t>Perú</t>
        </is>
      </c>
      <c r="C169" t="inlineStr">
        <is>
          <t>SEACE</t>
        </is>
      </c>
      <c r="D169" t="inlineStr">
        <is>
          <t>Lima</t>
        </is>
      </c>
      <c r="E169" t="inlineStr">
        <is>
          <t>Hospital Nacional Cayetano Heredia (MINSA)</t>
        </is>
      </c>
      <c r="F169" t="inlineStr">
        <is>
          <t>Tomógrafo CT 64 cortes</t>
        </is>
      </c>
      <c r="G169" t="inlineStr">
        <is>
          <t>CT</t>
        </is>
      </c>
      <c r="H169" t="inlineStr">
        <is>
          <t>2025-04-26</t>
        </is>
      </c>
      <c r="I169" t="n">
        <v>2025</v>
      </c>
      <c r="J169" t="inlineStr">
        <is>
          <t>Q2</t>
        </is>
      </c>
      <c r="K169" t="inlineStr">
        <is>
          <t>Licitación Pública</t>
        </is>
      </c>
      <c r="L169" t="n">
        <v>409000</v>
      </c>
      <c r="M169" t="inlineStr">
        <is>
          <t>USD</t>
        </is>
      </c>
      <c r="N169" t="inlineStr">
        <is>
          <t>Adjudicado</t>
        </is>
      </c>
      <c r="O169" t="inlineStr">
        <is>
          <t>Philips Healthcare</t>
        </is>
      </c>
      <c r="P169" t="inlineStr">
        <is>
          <t>Incisive CT</t>
        </is>
      </c>
      <c r="Q169" t="n">
        <v>3</v>
      </c>
      <c r="R169" t="inlineStr">
        <is>
          <t>Sí</t>
        </is>
      </c>
      <c r="S169" t="inlineStr">
        <is>
          <t>Sí</t>
        </is>
      </c>
      <c r="U169" t="n">
        <v>64</v>
      </c>
    </row>
    <row r="170">
      <c r="A170" t="inlineStr">
        <is>
          <t>LP-0046-2025-SEACE</t>
        </is>
      </c>
      <c r="B170" t="inlineStr">
        <is>
          <t>Perú</t>
        </is>
      </c>
      <c r="C170" t="inlineStr">
        <is>
          <t>SEACE</t>
        </is>
      </c>
      <c r="D170" t="inlineStr">
        <is>
          <t>Arequipa</t>
        </is>
      </c>
      <c r="E170" t="inlineStr">
        <is>
          <t>Hospital Regional de Lambayeque</t>
        </is>
      </c>
      <c r="F170" t="inlineStr">
        <is>
          <t>Tomógrafo CT 256 cortes</t>
        </is>
      </c>
      <c r="G170" t="inlineStr">
        <is>
          <t>CT</t>
        </is>
      </c>
      <c r="H170" t="inlineStr">
        <is>
          <t>2025-04-28</t>
        </is>
      </c>
      <c r="I170" t="n">
        <v>2025</v>
      </c>
      <c r="J170" t="inlineStr">
        <is>
          <t>Q2</t>
        </is>
      </c>
      <c r="K170" t="inlineStr">
        <is>
          <t>Concurso Público</t>
        </is>
      </c>
      <c r="L170" t="n">
        <v>904000</v>
      </c>
      <c r="M170" t="inlineStr">
        <is>
          <t>USD</t>
        </is>
      </c>
      <c r="N170" t="inlineStr">
        <is>
          <t>Adjudicado</t>
        </is>
      </c>
      <c r="O170" t="inlineStr">
        <is>
          <t>GE Healthcare</t>
        </is>
      </c>
      <c r="P170" t="inlineStr">
        <is>
          <t>Revolution HD</t>
        </is>
      </c>
      <c r="Q170" t="n">
        <v>5</v>
      </c>
      <c r="R170" t="inlineStr">
        <is>
          <t>Sí</t>
        </is>
      </c>
      <c r="S170" t="inlineStr">
        <is>
          <t>Sí</t>
        </is>
      </c>
      <c r="U170" t="n">
        <v>256</v>
      </c>
    </row>
    <row r="171">
      <c r="A171" t="inlineStr">
        <is>
          <t>LP-0015-2025-SEACE</t>
        </is>
      </c>
      <c r="B171" t="inlineStr">
        <is>
          <t>Perú</t>
        </is>
      </c>
      <c r="C171" t="inlineStr">
        <is>
          <t>SEACE</t>
        </is>
      </c>
      <c r="D171" t="inlineStr">
        <is>
          <t>Lima</t>
        </is>
      </c>
      <c r="E171" t="inlineStr">
        <is>
          <t>Clínica Internacional S.A.</t>
        </is>
      </c>
      <c r="F171" t="inlineStr">
        <is>
          <t>Resonancia Magnética 1.5T</t>
        </is>
      </c>
      <c r="G171" t="inlineStr">
        <is>
          <t>MR</t>
        </is>
      </c>
      <c r="H171" t="inlineStr">
        <is>
          <t>2025-04-30</t>
        </is>
      </c>
      <c r="I171" t="n">
        <v>2025</v>
      </c>
      <c r="J171" t="inlineStr">
        <is>
          <t>Q2</t>
        </is>
      </c>
      <c r="K171" t="inlineStr">
        <is>
          <t>Subasta Inversa Electrónica</t>
        </is>
      </c>
      <c r="L171" t="n">
        <v>839000</v>
      </c>
      <c r="M171" t="inlineStr">
        <is>
          <t>USD</t>
        </is>
      </c>
      <c r="N171" t="inlineStr">
        <is>
          <t>Desierto</t>
        </is>
      </c>
      <c r="Q171" t="n">
        <v>0</v>
      </c>
      <c r="R171" t="inlineStr">
        <is>
          <t>Sí</t>
        </is>
      </c>
      <c r="S171" t="inlineStr">
        <is>
          <t>Sí</t>
        </is>
      </c>
      <c r="T171" t="n">
        <v>1.5</v>
      </c>
    </row>
    <row r="172">
      <c r="A172" t="inlineStr">
        <is>
          <t>LP-0107-2025-SEACE</t>
        </is>
      </c>
      <c r="B172" t="inlineStr">
        <is>
          <t>Perú</t>
        </is>
      </c>
      <c r="C172" t="inlineStr">
        <is>
          <t>SEACE</t>
        </is>
      </c>
      <c r="D172" t="inlineStr">
        <is>
          <t>Piura</t>
        </is>
      </c>
      <c r="E172" t="inlineStr">
        <is>
          <t>Clínica Ricardo Palma S.A.</t>
        </is>
      </c>
      <c r="F172" t="inlineStr">
        <is>
          <t>Tomógrafo CT 256 cortes</t>
        </is>
      </c>
      <c r="G172" t="inlineStr">
        <is>
          <t>CT</t>
        </is>
      </c>
      <c r="H172" t="inlineStr">
        <is>
          <t>2025-05-04</t>
        </is>
      </c>
      <c r="I172" t="n">
        <v>2025</v>
      </c>
      <c r="J172" t="inlineStr">
        <is>
          <t>Q2</t>
        </is>
      </c>
      <c r="K172" t="inlineStr">
        <is>
          <t>Licitación Pública</t>
        </is>
      </c>
      <c r="L172" t="n">
        <v>886000</v>
      </c>
      <c r="M172" t="inlineStr">
        <is>
          <t>USD</t>
        </is>
      </c>
      <c r="N172" t="inlineStr">
        <is>
          <t>Adjudicado</t>
        </is>
      </c>
      <c r="O172" t="inlineStr">
        <is>
          <t>Siemens Healthineers</t>
        </is>
      </c>
      <c r="P172" t="inlineStr">
        <is>
          <t>SOMATOM go.Now</t>
        </is>
      </c>
      <c r="Q172" t="n">
        <v>4</v>
      </c>
      <c r="R172" t="inlineStr">
        <is>
          <t>No</t>
        </is>
      </c>
      <c r="S172" t="inlineStr">
        <is>
          <t>Sí</t>
        </is>
      </c>
      <c r="U172" t="n">
        <v>256</v>
      </c>
    </row>
    <row r="173">
      <c r="A173" t="inlineStr">
        <is>
          <t>LP-0078-2025-SEACE</t>
        </is>
      </c>
      <c r="B173" t="inlineStr">
        <is>
          <t>Perú</t>
        </is>
      </c>
      <c r="C173" t="inlineStr">
        <is>
          <t>SEACE</t>
        </is>
      </c>
      <c r="D173" t="inlineStr">
        <is>
          <t>Lima</t>
        </is>
      </c>
      <c r="E173" t="inlineStr">
        <is>
          <t>Hospital Nacional Dos de Mayo (MINSA)</t>
        </is>
      </c>
      <c r="F173" t="inlineStr">
        <is>
          <t>Resonancia Magnética 1.5T</t>
        </is>
      </c>
      <c r="G173" t="inlineStr">
        <is>
          <t>MR</t>
        </is>
      </c>
      <c r="H173" t="inlineStr">
        <is>
          <t>2025-08-03</t>
        </is>
      </c>
      <c r="I173" t="n">
        <v>2025</v>
      </c>
      <c r="J173" t="inlineStr">
        <is>
          <t>Q3</t>
        </is>
      </c>
      <c r="K173" t="inlineStr">
        <is>
          <t>Adjudicación Simplificada</t>
        </is>
      </c>
      <c r="L173" t="n">
        <v>956000</v>
      </c>
      <c r="M173" t="inlineStr">
        <is>
          <t>USD</t>
        </is>
      </c>
      <c r="N173" t="inlineStr">
        <is>
          <t>Adjudicado</t>
        </is>
      </c>
      <c r="O173" t="inlineStr">
        <is>
          <t>GE Healthcare</t>
        </is>
      </c>
      <c r="P173" t="inlineStr">
        <is>
          <t>SIGNA Artist</t>
        </is>
      </c>
      <c r="Q173" t="n">
        <v>3</v>
      </c>
      <c r="R173" t="inlineStr">
        <is>
          <t>Sí</t>
        </is>
      </c>
      <c r="S173" t="inlineStr">
        <is>
          <t>No</t>
        </is>
      </c>
      <c r="T173" t="n">
        <v>1.5</v>
      </c>
    </row>
    <row r="174">
      <c r="A174" t="inlineStr">
        <is>
          <t>LP-0073-2025-SEACE</t>
        </is>
      </c>
      <c r="B174" t="inlineStr">
        <is>
          <t>Perú</t>
        </is>
      </c>
      <c r="C174" t="inlineStr">
        <is>
          <t>SEACE</t>
        </is>
      </c>
      <c r="D174" t="inlineStr">
        <is>
          <t>Lambayeque</t>
        </is>
      </c>
      <c r="E174" t="inlineStr">
        <is>
          <t>Clínica Ricardo Palma S.A.</t>
        </is>
      </c>
      <c r="F174" t="inlineStr">
        <is>
          <t>Tomógrafo CT 64 cortes</t>
        </is>
      </c>
      <c r="G174" t="inlineStr">
        <is>
          <t>CT</t>
        </is>
      </c>
      <c r="H174" t="inlineStr">
        <is>
          <t>2025-08-11</t>
        </is>
      </c>
      <c r="I174" t="n">
        <v>2025</v>
      </c>
      <c r="J174" t="inlineStr">
        <is>
          <t>Q3</t>
        </is>
      </c>
      <c r="K174" t="inlineStr">
        <is>
          <t>Licitación Pública</t>
        </is>
      </c>
      <c r="L174" t="n">
        <v>392000</v>
      </c>
      <c r="M174" t="inlineStr">
        <is>
          <t>USD</t>
        </is>
      </c>
      <c r="N174" t="inlineStr">
        <is>
          <t>Adjudicado</t>
        </is>
      </c>
      <c r="O174" t="inlineStr">
        <is>
          <t>Canon Medical</t>
        </is>
      </c>
      <c r="P174" t="inlineStr">
        <is>
          <t>Aquilion Lightning</t>
        </is>
      </c>
      <c r="Q174" t="n">
        <v>4</v>
      </c>
      <c r="R174" t="inlineStr">
        <is>
          <t>No</t>
        </is>
      </c>
      <c r="S174" t="inlineStr">
        <is>
          <t>No</t>
        </is>
      </c>
      <c r="U174" t="n">
        <v>64</v>
      </c>
    </row>
    <row r="175">
      <c r="A175" t="inlineStr">
        <is>
          <t>LP-0002-2025-SEACE</t>
        </is>
      </c>
      <c r="B175" t="inlineStr">
        <is>
          <t>Perú</t>
        </is>
      </c>
      <c r="C175" t="inlineStr">
        <is>
          <t>SEACE</t>
        </is>
      </c>
      <c r="D175" t="inlineStr">
        <is>
          <t>Junín</t>
        </is>
      </c>
      <c r="E175" t="inlineStr">
        <is>
          <t>Hospital Regional Honorio Delgado (Arequipa)</t>
        </is>
      </c>
      <c r="F175" t="inlineStr">
        <is>
          <t>Resonancia Magnética 1.5T</t>
        </is>
      </c>
      <c r="G175" t="inlineStr">
        <is>
          <t>MR</t>
        </is>
      </c>
      <c r="H175" t="inlineStr">
        <is>
          <t>2025-08-31</t>
        </is>
      </c>
      <c r="I175" t="n">
        <v>2025</v>
      </c>
      <c r="J175" t="inlineStr">
        <is>
          <t>Q3</t>
        </is>
      </c>
      <c r="K175" t="inlineStr">
        <is>
          <t>Subasta Inversa Electrónica</t>
        </is>
      </c>
      <c r="L175" t="n">
        <v>927000</v>
      </c>
      <c r="M175" t="inlineStr">
        <is>
          <t>USD</t>
        </is>
      </c>
      <c r="N175" t="inlineStr">
        <is>
          <t>Adjudicado</t>
        </is>
      </c>
      <c r="O175" t="inlineStr">
        <is>
          <t>Siemens Healthineers</t>
        </is>
      </c>
      <c r="P175" t="inlineStr">
        <is>
          <t>MAGNETOM Sola</t>
        </is>
      </c>
      <c r="Q175" t="n">
        <v>2</v>
      </c>
      <c r="R175" t="inlineStr">
        <is>
          <t>Sí</t>
        </is>
      </c>
      <c r="S175" t="inlineStr">
        <is>
          <t>No</t>
        </is>
      </c>
      <c r="T175" t="n">
        <v>1.5</v>
      </c>
    </row>
    <row r="176">
      <c r="A176" t="inlineStr">
        <is>
          <t>LP-0024-2025-SEACE</t>
        </is>
      </c>
      <c r="B176" t="inlineStr">
        <is>
          <t>Perú</t>
        </is>
      </c>
      <c r="C176" t="inlineStr">
        <is>
          <t>SEACE</t>
        </is>
      </c>
      <c r="D176" t="inlineStr">
        <is>
          <t>Lima</t>
        </is>
      </c>
      <c r="E176" t="inlineStr">
        <is>
          <t>Clínica Ricardo Palma S.A.</t>
        </is>
      </c>
      <c r="F176" t="inlineStr">
        <is>
          <t>Tomógrafo CT 256 cortes</t>
        </is>
      </c>
      <c r="G176" t="inlineStr">
        <is>
          <t>CT</t>
        </is>
      </c>
      <c r="H176" t="inlineStr">
        <is>
          <t>2025-09-11</t>
        </is>
      </c>
      <c r="I176" t="n">
        <v>2025</v>
      </c>
      <c r="J176" t="inlineStr">
        <is>
          <t>Q3</t>
        </is>
      </c>
      <c r="K176" t="inlineStr">
        <is>
          <t>Licitación Pública</t>
        </is>
      </c>
      <c r="L176" t="n">
        <v>759000</v>
      </c>
      <c r="M176" t="inlineStr">
        <is>
          <t>USD</t>
        </is>
      </c>
      <c r="N176" t="inlineStr">
        <is>
          <t>Adjudicado</t>
        </is>
      </c>
      <c r="O176" t="inlineStr">
        <is>
          <t>Philips Healthcare</t>
        </is>
      </c>
      <c r="P176" t="inlineStr">
        <is>
          <t>IQon Spectral CT</t>
        </is>
      </c>
      <c r="Q176" t="n">
        <v>2</v>
      </c>
      <c r="R176" t="inlineStr">
        <is>
          <t>Sí</t>
        </is>
      </c>
      <c r="S176" t="inlineStr">
        <is>
          <t>Sí</t>
        </is>
      </c>
      <c r="U176" t="n">
        <v>256</v>
      </c>
    </row>
    <row r="177">
      <c r="A177" t="inlineStr">
        <is>
          <t>LP-0036-2025-SEACE</t>
        </is>
      </c>
      <c r="B177" t="inlineStr">
        <is>
          <t>Perú</t>
        </is>
      </c>
      <c r="C177" t="inlineStr">
        <is>
          <t>SEACE</t>
        </is>
      </c>
      <c r="D177" t="inlineStr">
        <is>
          <t>Junín</t>
        </is>
      </c>
      <c r="E177" t="inlineStr">
        <is>
          <t>Hospital Nacional Edgardo Rebagliati Martins (EsSalud)</t>
        </is>
      </c>
      <c r="F177" t="inlineStr">
        <is>
          <t>Resonancia Magnética 1.5T</t>
        </is>
      </c>
      <c r="G177" t="inlineStr">
        <is>
          <t>MR</t>
        </is>
      </c>
      <c r="H177" t="inlineStr">
        <is>
          <t>2025-09-17</t>
        </is>
      </c>
      <c r="I177" t="n">
        <v>2025</v>
      </c>
      <c r="J177" t="inlineStr">
        <is>
          <t>Q3</t>
        </is>
      </c>
      <c r="K177" t="inlineStr">
        <is>
          <t>Licitación Pública</t>
        </is>
      </c>
      <c r="L177" t="n">
        <v>936000</v>
      </c>
      <c r="M177" t="inlineStr">
        <is>
          <t>USD</t>
        </is>
      </c>
      <c r="N177" t="inlineStr">
        <is>
          <t>Adjudicado</t>
        </is>
      </c>
      <c r="O177" t="inlineStr">
        <is>
          <t>Philips Healthcare</t>
        </is>
      </c>
      <c r="P177" t="inlineStr">
        <is>
          <t>Ingenia 1.5T</t>
        </is>
      </c>
      <c r="Q177" t="n">
        <v>3</v>
      </c>
      <c r="R177" t="inlineStr">
        <is>
          <t>Sí</t>
        </is>
      </c>
      <c r="S177" t="inlineStr">
        <is>
          <t>No</t>
        </is>
      </c>
      <c r="T177" t="n">
        <v>1.5</v>
      </c>
    </row>
    <row r="178">
      <c r="A178" t="inlineStr">
        <is>
          <t>LP-0108-2025-SEACE</t>
        </is>
      </c>
      <c r="B178" t="inlineStr">
        <is>
          <t>Perú</t>
        </is>
      </c>
      <c r="C178" t="inlineStr">
        <is>
          <t>SEACE</t>
        </is>
      </c>
      <c r="D178" t="inlineStr">
        <is>
          <t>Lima</t>
        </is>
      </c>
      <c r="E178" t="inlineStr">
        <is>
          <t>Hospital de la Solidaridad (SISOL)</t>
        </is>
      </c>
      <c r="F178" t="inlineStr">
        <is>
          <t>Tomógrafo CT 256 cortes</t>
        </is>
      </c>
      <c r="G178" t="inlineStr">
        <is>
          <t>CT</t>
        </is>
      </c>
      <c r="H178" t="inlineStr">
        <is>
          <t>2025-11-05</t>
        </is>
      </c>
      <c r="I178" t="n">
        <v>2025</v>
      </c>
      <c r="J178" t="inlineStr">
        <is>
          <t>Q4</t>
        </is>
      </c>
      <c r="K178" t="inlineStr">
        <is>
          <t>Subasta Inversa Electrónica</t>
        </is>
      </c>
      <c r="L178" t="n">
        <v>882000</v>
      </c>
      <c r="M178" t="inlineStr">
        <is>
          <t>USD</t>
        </is>
      </c>
      <c r="N178" t="inlineStr">
        <is>
          <t>Adjudicado</t>
        </is>
      </c>
      <c r="O178" t="inlineStr">
        <is>
          <t>Siemens Healthineers</t>
        </is>
      </c>
      <c r="P178" t="inlineStr">
        <is>
          <t>SOMATOM go.Now</t>
        </is>
      </c>
      <c r="Q178" t="n">
        <v>4</v>
      </c>
      <c r="R178" t="inlineStr">
        <is>
          <t>No</t>
        </is>
      </c>
      <c r="S178" t="inlineStr">
        <is>
          <t>Sí</t>
        </is>
      </c>
      <c r="U178" t="n">
        <v>256</v>
      </c>
    </row>
    <row r="179">
      <c r="A179" t="inlineStr">
        <is>
          <t>SIE-0027-2025-SERCOP</t>
        </is>
      </c>
      <c r="B179" t="inlineStr">
        <is>
          <t>Ecuador</t>
        </is>
      </c>
      <c r="C179" t="inlineStr">
        <is>
          <t>SERCOP</t>
        </is>
      </c>
      <c r="D179" t="inlineStr">
        <is>
          <t>Pichincha</t>
        </is>
      </c>
      <c r="E179" t="inlineStr">
        <is>
          <t>SOLCA Núcleo de Quito</t>
        </is>
      </c>
      <c r="F179" t="inlineStr">
        <is>
          <t>Resonancia Magnética 3T</t>
        </is>
      </c>
      <c r="G179" t="inlineStr">
        <is>
          <t>MR</t>
        </is>
      </c>
      <c r="H179" t="inlineStr">
        <is>
          <t>2025-11-14</t>
        </is>
      </c>
      <c r="I179" t="n">
        <v>2025</v>
      </c>
      <c r="J179" t="inlineStr">
        <is>
          <t>Q4</t>
        </is>
      </c>
      <c r="K179" t="inlineStr">
        <is>
          <t>Licitación</t>
        </is>
      </c>
      <c r="L179" t="n">
        <v>1895000</v>
      </c>
      <c r="M179" t="inlineStr">
        <is>
          <t>USD</t>
        </is>
      </c>
      <c r="N179" t="inlineStr">
        <is>
          <t>Nulo</t>
        </is>
      </c>
      <c r="Q179" t="n">
        <v>4</v>
      </c>
      <c r="R179" t="inlineStr">
        <is>
          <t>Sí</t>
        </is>
      </c>
      <c r="S179" t="inlineStr">
        <is>
          <t>Sí</t>
        </is>
      </c>
      <c r="T179" t="n">
        <v>3</v>
      </c>
    </row>
    <row r="180">
      <c r="A180" t="inlineStr">
        <is>
          <t>SIE-0046-2025-SERCOP</t>
        </is>
      </c>
      <c r="B180" t="inlineStr">
        <is>
          <t>Ecuador</t>
        </is>
      </c>
      <c r="C180" t="inlineStr">
        <is>
          <t>SERCOP</t>
        </is>
      </c>
      <c r="D180" t="inlineStr">
        <is>
          <t>Manabí</t>
        </is>
      </c>
      <c r="E180" t="inlineStr">
        <is>
          <t>Hospital del IESS Ceibos</t>
        </is>
      </c>
      <c r="F180" t="inlineStr">
        <is>
          <t>Resonancia Magnética 3T</t>
        </is>
      </c>
      <c r="G180" t="inlineStr">
        <is>
          <t>MR</t>
        </is>
      </c>
      <c r="H180" t="inlineStr">
        <is>
          <t>2025-12-25</t>
        </is>
      </c>
      <c r="I180" t="n">
        <v>2025</v>
      </c>
      <c r="J180" t="inlineStr">
        <is>
          <t>Q4</t>
        </is>
      </c>
      <c r="K180" t="inlineStr">
        <is>
          <t>Cotización</t>
        </is>
      </c>
      <c r="L180" t="n">
        <v>1613000</v>
      </c>
      <c r="M180" t="inlineStr">
        <is>
          <t>USD</t>
        </is>
      </c>
      <c r="N180" t="inlineStr">
        <is>
          <t>Adjudicado</t>
        </is>
      </c>
      <c r="O180" t="inlineStr">
        <is>
          <t>Philips Healthcare</t>
        </is>
      </c>
      <c r="P180" t="inlineStr">
        <is>
          <t>Ingenia Elition</t>
        </is>
      </c>
      <c r="Q180" t="n">
        <v>2</v>
      </c>
      <c r="R180" t="inlineStr">
        <is>
          <t>No</t>
        </is>
      </c>
      <c r="S180" t="inlineStr">
        <is>
          <t>No</t>
        </is>
      </c>
      <c r="T180" t="n">
        <v>3</v>
      </c>
    </row>
    <row r="181">
      <c r="A181" t="inlineStr">
        <is>
          <t>LP-0051-2025-SEACE</t>
        </is>
      </c>
      <c r="B181" t="inlineStr">
        <is>
          <t>Perú</t>
        </is>
      </c>
      <c r="C181" t="inlineStr">
        <is>
          <t>SEACE</t>
        </is>
      </c>
      <c r="D181" t="inlineStr">
        <is>
          <t>Cusco</t>
        </is>
      </c>
      <c r="E181" t="inlineStr">
        <is>
          <t>Clínica Ricardo Palma S.A.</t>
        </is>
      </c>
      <c r="F181" t="inlineStr">
        <is>
          <t>Resonancia Magnética 3T</t>
        </is>
      </c>
      <c r="G181" t="inlineStr">
        <is>
          <t>MR</t>
        </is>
      </c>
      <c r="H181" t="inlineStr">
        <is>
          <t>2025-12-27</t>
        </is>
      </c>
      <c r="I181" t="n">
        <v>2025</v>
      </c>
      <c r="J181" t="inlineStr">
        <is>
          <t>Q4</t>
        </is>
      </c>
      <c r="K181" t="inlineStr">
        <is>
          <t>Licitación Pública</t>
        </is>
      </c>
      <c r="L181" t="n">
        <v>2040000</v>
      </c>
      <c r="M181" t="inlineStr">
        <is>
          <t>USD</t>
        </is>
      </c>
      <c r="N181" t="inlineStr">
        <is>
          <t>Adjudicado</t>
        </is>
      </c>
      <c r="O181" t="inlineStr">
        <is>
          <t>GE Healthcare</t>
        </is>
      </c>
      <c r="P181" t="inlineStr">
        <is>
          <t>SIGNA Premier</t>
        </is>
      </c>
      <c r="Q181" t="n">
        <v>1</v>
      </c>
      <c r="R181" t="inlineStr">
        <is>
          <t>No</t>
        </is>
      </c>
      <c r="S181" t="inlineStr">
        <is>
          <t>No</t>
        </is>
      </c>
      <c r="T181" t="n">
        <v>3</v>
      </c>
    </row>
  </sheetData>
  <autoFilter ref="A1:U18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pais</t>
        </is>
      </c>
      <c r="B1" t="inlineStr">
        <is>
          <t>marca_ganadora</t>
        </is>
      </c>
      <c r="C1" t="inlineStr">
        <is>
          <t>licitaciones_ganadas</t>
        </is>
      </c>
      <c r="D1" t="inlineStr">
        <is>
          <t>monto_total_USD</t>
        </is>
      </c>
      <c r="E1" t="inlineStr">
        <is>
          <t>market_share_%</t>
        </is>
      </c>
    </row>
    <row r="2">
      <c r="A2" t="inlineStr">
        <is>
          <t>Ecuador</t>
        </is>
      </c>
      <c r="B2" t="inlineStr">
        <is>
          <t>Canon Medical</t>
        </is>
      </c>
      <c r="C2" t="n">
        <v>8</v>
      </c>
      <c r="D2" t="n">
        <v>4736000</v>
      </c>
      <c r="E2" t="n">
        <v>14</v>
      </c>
    </row>
    <row r="3">
      <c r="A3" t="inlineStr">
        <is>
          <t>Ecuador</t>
        </is>
      </c>
      <c r="B3" t="inlineStr">
        <is>
          <t>GE Healthcare</t>
        </is>
      </c>
      <c r="C3" t="n">
        <v>16</v>
      </c>
      <c r="D3" t="n">
        <v>13458000</v>
      </c>
      <c r="E3" t="n">
        <v>28.1</v>
      </c>
    </row>
    <row r="4">
      <c r="A4" t="inlineStr">
        <is>
          <t>Ecuador</t>
        </is>
      </c>
      <c r="B4" t="inlineStr">
        <is>
          <t>Philips Healthcare</t>
        </is>
      </c>
      <c r="C4" t="n">
        <v>15</v>
      </c>
      <c r="D4" t="n">
        <v>12998000</v>
      </c>
      <c r="E4" t="n">
        <v>26.3</v>
      </c>
    </row>
    <row r="5">
      <c r="A5" t="inlineStr">
        <is>
          <t>Ecuador</t>
        </is>
      </c>
      <c r="B5" t="inlineStr">
        <is>
          <t>Siemens Healthineers</t>
        </is>
      </c>
      <c r="C5" t="n">
        <v>18</v>
      </c>
      <c r="D5" t="n">
        <v>14327000</v>
      </c>
      <c r="E5" t="n">
        <v>31.6</v>
      </c>
    </row>
    <row r="6">
      <c r="A6" t="inlineStr">
        <is>
          <t>Perú</t>
        </is>
      </c>
      <c r="B6" t="inlineStr">
        <is>
          <t>Canon Medical</t>
        </is>
      </c>
      <c r="C6" t="n">
        <v>12</v>
      </c>
      <c r="D6" t="n">
        <v>6511000</v>
      </c>
      <c r="E6" t="n">
        <v>11.4</v>
      </c>
    </row>
    <row r="7">
      <c r="A7" t="inlineStr">
        <is>
          <t>Perú</t>
        </is>
      </c>
      <c r="B7" t="inlineStr">
        <is>
          <t>GE Healthcare</t>
        </is>
      </c>
      <c r="C7" t="n">
        <v>24</v>
      </c>
      <c r="D7" t="n">
        <v>25052000</v>
      </c>
      <c r="E7" t="n">
        <v>22.9</v>
      </c>
    </row>
    <row r="8">
      <c r="A8" t="inlineStr">
        <is>
          <t>Perú</t>
        </is>
      </c>
      <c r="B8" t="inlineStr">
        <is>
          <t>Philips Healthcare</t>
        </is>
      </c>
      <c r="C8" t="n">
        <v>35</v>
      </c>
      <c r="D8" t="n">
        <v>25578000</v>
      </c>
      <c r="E8" t="n">
        <v>33.3</v>
      </c>
    </row>
    <row r="9">
      <c r="A9" t="inlineStr">
        <is>
          <t>Perú</t>
        </is>
      </c>
      <c r="B9" t="inlineStr">
        <is>
          <t>Siemens Healthineers</t>
        </is>
      </c>
      <c r="C9" t="n">
        <v>34</v>
      </c>
      <c r="D9" t="n">
        <v>30495000</v>
      </c>
      <c r="E9" t="n">
        <v>32.4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año</t>
        </is>
      </c>
      <c r="B1" t="inlineStr">
        <is>
          <t>pais</t>
        </is>
      </c>
      <c r="C1" t="inlineStr">
        <is>
          <t>modalidad</t>
        </is>
      </c>
      <c r="D1" t="inlineStr">
        <is>
          <t>num_licitaciones</t>
        </is>
      </c>
      <c r="E1" t="inlineStr">
        <is>
          <t>monto_promedio_USD</t>
        </is>
      </c>
      <c r="F1" t="inlineStr">
        <is>
          <t>monto_total_USD</t>
        </is>
      </c>
    </row>
    <row r="2">
      <c r="A2" t="n">
        <v>2020</v>
      </c>
      <c r="B2" t="inlineStr">
        <is>
          <t>Ecuador</t>
        </is>
      </c>
      <c r="C2" t="inlineStr">
        <is>
          <t>CT</t>
        </is>
      </c>
      <c r="D2" t="n">
        <v>9</v>
      </c>
      <c r="E2" t="n">
        <v>600000</v>
      </c>
      <c r="F2" t="n">
        <v>5400000</v>
      </c>
    </row>
    <row r="3">
      <c r="A3" t="n">
        <v>2020</v>
      </c>
      <c r="B3" t="inlineStr">
        <is>
          <t>Ecuador</t>
        </is>
      </c>
      <c r="C3" t="inlineStr">
        <is>
          <t>MR</t>
        </is>
      </c>
      <c r="D3" t="n">
        <v>3</v>
      </c>
      <c r="E3" t="n">
        <v>1861000</v>
      </c>
      <c r="F3" t="n">
        <v>5583000</v>
      </c>
    </row>
    <row r="4">
      <c r="A4" t="n">
        <v>2020</v>
      </c>
      <c r="B4" t="inlineStr">
        <is>
          <t>Perú</t>
        </is>
      </c>
      <c r="C4" t="inlineStr">
        <is>
          <t>CT</t>
        </is>
      </c>
      <c r="D4" t="n">
        <v>19</v>
      </c>
      <c r="E4" t="n">
        <v>543947.3684210526</v>
      </c>
      <c r="F4" t="n">
        <v>10335000</v>
      </c>
    </row>
    <row r="5">
      <c r="A5" t="n">
        <v>2020</v>
      </c>
      <c r="B5" t="inlineStr">
        <is>
          <t>Perú</t>
        </is>
      </c>
      <c r="C5" t="inlineStr">
        <is>
          <t>MR</t>
        </is>
      </c>
      <c r="D5" t="n">
        <v>7</v>
      </c>
      <c r="E5" t="n">
        <v>1361142.857142857</v>
      </c>
      <c r="F5" t="n">
        <v>9528000</v>
      </c>
    </row>
    <row r="6">
      <c r="A6" t="n">
        <v>2021</v>
      </c>
      <c r="B6" t="inlineStr">
        <is>
          <t>Ecuador</t>
        </is>
      </c>
      <c r="C6" t="inlineStr">
        <is>
          <t>CT</t>
        </is>
      </c>
      <c r="D6" t="n">
        <v>6</v>
      </c>
      <c r="E6" t="n">
        <v>508666.6666666667</v>
      </c>
      <c r="F6" t="n">
        <v>3052000</v>
      </c>
    </row>
    <row r="7">
      <c r="A7" t="n">
        <v>2021</v>
      </c>
      <c r="B7" t="inlineStr">
        <is>
          <t>Ecuador</t>
        </is>
      </c>
      <c r="C7" t="inlineStr">
        <is>
          <t>MR</t>
        </is>
      </c>
      <c r="D7" t="n">
        <v>2</v>
      </c>
      <c r="E7" t="n">
        <v>1288500</v>
      </c>
      <c r="F7" t="n">
        <v>2577000</v>
      </c>
    </row>
    <row r="8">
      <c r="A8" t="n">
        <v>2021</v>
      </c>
      <c r="B8" t="inlineStr">
        <is>
          <t>Perú</t>
        </is>
      </c>
      <c r="C8" t="inlineStr">
        <is>
          <t>CT</t>
        </is>
      </c>
      <c r="D8" t="n">
        <v>12</v>
      </c>
      <c r="E8" t="n">
        <v>579583.3333333334</v>
      </c>
      <c r="F8" t="n">
        <v>6955000</v>
      </c>
    </row>
    <row r="9">
      <c r="A9" t="n">
        <v>2021</v>
      </c>
      <c r="B9" t="inlineStr">
        <is>
          <t>Perú</t>
        </is>
      </c>
      <c r="C9" t="inlineStr">
        <is>
          <t>MR</t>
        </is>
      </c>
      <c r="D9" t="n">
        <v>7</v>
      </c>
      <c r="E9" t="n">
        <v>1357000</v>
      </c>
      <c r="F9" t="n">
        <v>9499000</v>
      </c>
    </row>
    <row r="10">
      <c r="A10" t="n">
        <v>2022</v>
      </c>
      <c r="B10" t="inlineStr">
        <is>
          <t>Ecuador</t>
        </is>
      </c>
      <c r="C10" t="inlineStr">
        <is>
          <t>CT</t>
        </is>
      </c>
      <c r="D10" t="n">
        <v>4</v>
      </c>
      <c r="E10" t="n">
        <v>527250</v>
      </c>
      <c r="F10" t="n">
        <v>2109000</v>
      </c>
    </row>
    <row r="11">
      <c r="A11" t="n">
        <v>2022</v>
      </c>
      <c r="B11" t="inlineStr">
        <is>
          <t>Ecuador</t>
        </is>
      </c>
      <c r="C11" t="inlineStr">
        <is>
          <t>MR</t>
        </is>
      </c>
      <c r="D11" t="n">
        <v>4</v>
      </c>
      <c r="E11" t="n">
        <v>1023500</v>
      </c>
      <c r="F11" t="n">
        <v>4094000</v>
      </c>
    </row>
    <row r="12">
      <c r="A12" t="n">
        <v>2022</v>
      </c>
      <c r="B12" t="inlineStr">
        <is>
          <t>Perú</t>
        </is>
      </c>
      <c r="C12" t="inlineStr">
        <is>
          <t>CT</t>
        </is>
      </c>
      <c r="D12" t="n">
        <v>18</v>
      </c>
      <c r="E12" t="n">
        <v>544166.6666666666</v>
      </c>
      <c r="F12" t="n">
        <v>9795000</v>
      </c>
    </row>
    <row r="13">
      <c r="A13" t="n">
        <v>2022</v>
      </c>
      <c r="B13" t="inlineStr">
        <is>
          <t>Perú</t>
        </is>
      </c>
      <c r="C13" t="inlineStr">
        <is>
          <t>MR</t>
        </is>
      </c>
      <c r="D13" t="n">
        <v>6</v>
      </c>
      <c r="E13" t="n">
        <v>1482833.333333333</v>
      </c>
      <c r="F13" t="n">
        <v>8897000</v>
      </c>
    </row>
    <row r="14">
      <c r="A14" t="n">
        <v>2023</v>
      </c>
      <c r="B14" t="inlineStr">
        <is>
          <t>Ecuador</t>
        </is>
      </c>
      <c r="C14" t="inlineStr">
        <is>
          <t>CT</t>
        </is>
      </c>
      <c r="D14" t="n">
        <v>10</v>
      </c>
      <c r="E14" t="n">
        <v>631400</v>
      </c>
      <c r="F14" t="n">
        <v>6314000</v>
      </c>
    </row>
    <row r="15">
      <c r="A15" t="n">
        <v>2023</v>
      </c>
      <c r="B15" t="inlineStr">
        <is>
          <t>Ecuador</t>
        </is>
      </c>
      <c r="C15" t="inlineStr">
        <is>
          <t>MR</t>
        </is>
      </c>
      <c r="D15" t="n">
        <v>5</v>
      </c>
      <c r="E15" t="n">
        <v>1312200</v>
      </c>
      <c r="F15" t="n">
        <v>6561000</v>
      </c>
    </row>
    <row r="16">
      <c r="A16" t="n">
        <v>2023</v>
      </c>
      <c r="B16" t="inlineStr">
        <is>
          <t>Perú</t>
        </is>
      </c>
      <c r="C16" t="inlineStr">
        <is>
          <t>CT</t>
        </is>
      </c>
      <c r="D16" t="n">
        <v>11</v>
      </c>
      <c r="E16" t="n">
        <v>574727.2727272727</v>
      </c>
      <c r="F16" t="n">
        <v>6322000</v>
      </c>
    </row>
    <row r="17">
      <c r="A17" t="n">
        <v>2023</v>
      </c>
      <c r="B17" t="inlineStr">
        <is>
          <t>Perú</t>
        </is>
      </c>
      <c r="C17" t="inlineStr">
        <is>
          <t>MR</t>
        </is>
      </c>
      <c r="D17" t="n">
        <v>7</v>
      </c>
      <c r="E17" t="n">
        <v>1132142.857142857</v>
      </c>
      <c r="F17" t="n">
        <v>7925000</v>
      </c>
    </row>
    <row r="18">
      <c r="A18" t="n">
        <v>2024</v>
      </c>
      <c r="B18" t="inlineStr">
        <is>
          <t>Ecuador</t>
        </is>
      </c>
      <c r="C18" t="inlineStr">
        <is>
          <t>CT</t>
        </is>
      </c>
      <c r="D18" t="n">
        <v>11</v>
      </c>
      <c r="E18" t="n">
        <v>449090.9090909091</v>
      </c>
      <c r="F18" t="n">
        <v>4940000</v>
      </c>
    </row>
    <row r="19">
      <c r="A19" t="n">
        <v>2024</v>
      </c>
      <c r="B19" t="inlineStr">
        <is>
          <t>Ecuador</t>
        </is>
      </c>
      <c r="C19" t="inlineStr">
        <is>
          <t>MR</t>
        </is>
      </c>
      <c r="D19" t="n">
        <v>4</v>
      </c>
      <c r="E19" t="n">
        <v>1094250</v>
      </c>
      <c r="F19" t="n">
        <v>4377000</v>
      </c>
    </row>
    <row r="20">
      <c r="A20" t="n">
        <v>2024</v>
      </c>
      <c r="B20" t="inlineStr">
        <is>
          <t>Perú</t>
        </is>
      </c>
      <c r="C20" t="inlineStr">
        <is>
          <t>CT</t>
        </is>
      </c>
      <c r="D20" t="n">
        <v>10</v>
      </c>
      <c r="E20" t="n">
        <v>523700</v>
      </c>
      <c r="F20" t="n">
        <v>5237000</v>
      </c>
    </row>
    <row r="21">
      <c r="A21" t="n">
        <v>2024</v>
      </c>
      <c r="B21" t="inlineStr">
        <is>
          <t>Perú</t>
        </is>
      </c>
      <c r="C21" t="inlineStr">
        <is>
          <t>MR</t>
        </is>
      </c>
      <c r="D21" t="n">
        <v>4</v>
      </c>
      <c r="E21" t="n">
        <v>1650750</v>
      </c>
      <c r="F21" t="n">
        <v>6603000</v>
      </c>
    </row>
    <row r="22">
      <c r="A22" t="n">
        <v>2025</v>
      </c>
      <c r="B22" t="inlineStr">
        <is>
          <t>Ecuador</t>
        </is>
      </c>
      <c r="C22" t="inlineStr">
        <is>
          <t>MR</t>
        </is>
      </c>
      <c r="D22" t="n">
        <v>2</v>
      </c>
      <c r="E22" t="n">
        <v>1754000</v>
      </c>
      <c r="F22" t="n">
        <v>3508000</v>
      </c>
    </row>
    <row r="23">
      <c r="A23" t="n">
        <v>2025</v>
      </c>
      <c r="B23" t="inlineStr">
        <is>
          <t>Perú</t>
        </is>
      </c>
      <c r="C23" t="inlineStr">
        <is>
          <t>CT</t>
        </is>
      </c>
      <c r="D23" t="n">
        <v>11</v>
      </c>
      <c r="E23" t="n">
        <v>640363.6363636364</v>
      </c>
      <c r="F23" t="n">
        <v>7044000</v>
      </c>
    </row>
    <row r="24">
      <c r="A24" t="n">
        <v>2025</v>
      </c>
      <c r="B24" t="inlineStr">
        <is>
          <t>Perú</t>
        </is>
      </c>
      <c r="C24" t="inlineStr">
        <is>
          <t>MR</t>
        </is>
      </c>
      <c r="D24" t="n">
        <v>8</v>
      </c>
      <c r="E24" t="n">
        <v>1188000</v>
      </c>
      <c r="F24" t="n">
        <v>9504000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pais</t>
        </is>
      </c>
      <c r="B1" t="inlineStr">
        <is>
          <t>entidad</t>
        </is>
      </c>
      <c r="C1" t="inlineStr">
        <is>
          <t>num_licitaciones</t>
        </is>
      </c>
      <c r="D1" t="inlineStr">
        <is>
          <t>monto_total_USD</t>
        </is>
      </c>
    </row>
    <row r="2">
      <c r="A2" t="inlineStr">
        <is>
          <t>Perú</t>
        </is>
      </c>
      <c r="B2" t="inlineStr">
        <is>
          <t>Hospital Regional Honorio Delgado (Arequipa)</t>
        </is>
      </c>
      <c r="C2" t="n">
        <v>13</v>
      </c>
      <c r="D2" t="n">
        <v>12636000</v>
      </c>
    </row>
    <row r="3">
      <c r="A3" t="inlineStr">
        <is>
          <t>Ecuador</t>
        </is>
      </c>
      <c r="B3" t="inlineStr">
        <is>
          <t>Ministerio de Salud Pública - Hospital Eugenio Espejo</t>
        </is>
      </c>
      <c r="C3" t="n">
        <v>13</v>
      </c>
      <c r="D3" t="n">
        <v>10585000</v>
      </c>
    </row>
    <row r="4">
      <c r="A4" t="inlineStr">
        <is>
          <t>Perú</t>
        </is>
      </c>
      <c r="B4" t="inlineStr">
        <is>
          <t>Clínica Ricardo Palma S.A.</t>
        </is>
      </c>
      <c r="C4" t="n">
        <v>10</v>
      </c>
      <c r="D4" t="n">
        <v>10557000</v>
      </c>
    </row>
    <row r="5">
      <c r="A5" t="inlineStr">
        <is>
          <t>Perú</t>
        </is>
      </c>
      <c r="B5" t="inlineStr">
        <is>
          <t>Hospital Regional de Lambayeque</t>
        </is>
      </c>
      <c r="C5" t="n">
        <v>14</v>
      </c>
      <c r="D5" t="n">
        <v>10096000</v>
      </c>
    </row>
    <row r="6">
      <c r="A6" t="inlineStr">
        <is>
          <t>Ecuador</t>
        </is>
      </c>
      <c r="B6" t="inlineStr">
        <is>
          <t>SOLCA Núcleo de Quito</t>
        </is>
      </c>
      <c r="C6" t="n">
        <v>8</v>
      </c>
      <c r="D6" t="n">
        <v>9658000</v>
      </c>
    </row>
    <row r="7">
      <c r="A7" t="inlineStr">
        <is>
          <t>Perú</t>
        </is>
      </c>
      <c r="B7" t="inlineStr">
        <is>
          <t>Hospital Nacional Edgardo Rebagliati Martins (EsSalud)</t>
        </is>
      </c>
      <c r="C7" t="n">
        <v>9</v>
      </c>
      <c r="D7" t="n">
        <v>9171000</v>
      </c>
    </row>
    <row r="8">
      <c r="A8" t="inlineStr">
        <is>
          <t>Perú</t>
        </is>
      </c>
      <c r="B8" t="inlineStr">
        <is>
          <t>Hospital Nacional Dos de Mayo (MINSA)</t>
        </is>
      </c>
      <c r="C8" t="n">
        <v>10</v>
      </c>
      <c r="D8" t="n">
        <v>7418000</v>
      </c>
    </row>
    <row r="9">
      <c r="A9" t="inlineStr">
        <is>
          <t>Perú</t>
        </is>
      </c>
      <c r="B9" t="inlineStr">
        <is>
          <t>Hospital Nacional Cayetano Heredia (MINSA)</t>
        </is>
      </c>
      <c r="C9" t="n">
        <v>9</v>
      </c>
      <c r="D9" t="n">
        <v>7048000</v>
      </c>
    </row>
    <row r="10">
      <c r="A10" t="inlineStr">
        <is>
          <t>Perú</t>
        </is>
      </c>
      <c r="B10" t="inlineStr">
        <is>
          <t>Hospital Nacional Alberto Sabogal Sologuren (EsSalud)</t>
        </is>
      </c>
      <c r="C10" t="n">
        <v>8</v>
      </c>
      <c r="D10" t="n">
        <v>6910000</v>
      </c>
    </row>
    <row r="11">
      <c r="A11" t="inlineStr">
        <is>
          <t>Ecuador</t>
        </is>
      </c>
      <c r="B11" t="inlineStr">
        <is>
          <t>Hospital General IESS Riobamba</t>
        </is>
      </c>
      <c r="C11" t="n">
        <v>8</v>
      </c>
      <c r="D11" t="n">
        <v>6312000</v>
      </c>
    </row>
    <row r="12">
      <c r="A12" t="inlineStr">
        <is>
          <t>Perú</t>
        </is>
      </c>
      <c r="B12" t="inlineStr">
        <is>
          <t>Hospital Nacional Guillermo Almenara Irigoyen (EsSalud)</t>
        </is>
      </c>
      <c r="C12" t="n">
        <v>7</v>
      </c>
      <c r="D12" t="n">
        <v>5835000</v>
      </c>
    </row>
    <row r="13">
      <c r="A13" t="inlineStr">
        <is>
          <t>Perú</t>
        </is>
      </c>
      <c r="B13" t="inlineStr">
        <is>
          <t>Hospital Nacional Carlos Alberto Seguín Escobedo (EsSalud Arequipa)</t>
        </is>
      </c>
      <c r="C13" t="n">
        <v>8</v>
      </c>
      <c r="D13" t="n">
        <v>5370000</v>
      </c>
    </row>
    <row r="14">
      <c r="A14" t="inlineStr">
        <is>
          <t>Ecuador</t>
        </is>
      </c>
      <c r="B14" t="inlineStr">
        <is>
          <t>Hospital del IESS Ceibos</t>
        </is>
      </c>
      <c r="C14" t="n">
        <v>8</v>
      </c>
      <c r="D14" t="n">
        <v>4876000</v>
      </c>
    </row>
    <row r="15">
      <c r="A15" t="inlineStr">
        <is>
          <t>Perú</t>
        </is>
      </c>
      <c r="B15" t="inlineStr">
        <is>
          <t>Instituto Nacional de Enfermedades Neoplásicas (INEN)</t>
        </is>
      </c>
      <c r="C15" t="n">
        <v>6</v>
      </c>
      <c r="D15" t="n">
        <v>4696000</v>
      </c>
    </row>
    <row r="16">
      <c r="A16" t="inlineStr">
        <is>
          <t>Ecuador</t>
        </is>
      </c>
      <c r="B16" t="inlineStr">
        <is>
          <t>Hospital Carlos Andrade Marín (IESS)</t>
        </is>
      </c>
      <c r="C16" t="n">
        <v>4</v>
      </c>
      <c r="D16" t="n">
        <v>4140000</v>
      </c>
    </row>
    <row r="17">
      <c r="A17" t="inlineStr">
        <is>
          <t>Perú</t>
        </is>
      </c>
      <c r="B17" t="inlineStr">
        <is>
          <t>Hospital de la Solidaridad (SISOL)</t>
        </is>
      </c>
      <c r="C17" t="n">
        <v>5</v>
      </c>
      <c r="D17" t="n">
        <v>4075000</v>
      </c>
    </row>
    <row r="18">
      <c r="A18" t="inlineStr">
        <is>
          <t>Perú</t>
        </is>
      </c>
      <c r="B18" t="inlineStr">
        <is>
          <t>Hospital Nacional Arzobispo Loayza (MINSA)</t>
        </is>
      </c>
      <c r="C18" t="n">
        <v>6</v>
      </c>
      <c r="D18" t="n">
        <v>4041000</v>
      </c>
    </row>
    <row r="19">
      <c r="A19" t="inlineStr">
        <is>
          <t>Ecuador</t>
        </is>
      </c>
      <c r="B19" t="inlineStr">
        <is>
          <t>Hospital de Especialidades Baca Ortiz</t>
        </is>
      </c>
      <c r="C19" t="n">
        <v>5</v>
      </c>
      <c r="D19" t="n">
        <v>3827000</v>
      </c>
    </row>
    <row r="20">
      <c r="A20" t="inlineStr">
        <is>
          <t>Ecuador</t>
        </is>
      </c>
      <c r="B20" t="inlineStr">
        <is>
          <t>Hospital Teodoro Maldonado Carbo (IESS Guayaquil)</t>
        </is>
      </c>
      <c r="C20" t="n">
        <v>4</v>
      </c>
      <c r="D20" t="n">
        <v>3661000</v>
      </c>
    </row>
    <row r="21">
      <c r="A21" t="inlineStr">
        <is>
          <t>Perú</t>
        </is>
      </c>
      <c r="B21" t="inlineStr">
        <is>
          <t>Gobierno Regional de Piura - Gerencia Regional de Salud</t>
        </is>
      </c>
      <c r="C21" t="n">
        <v>6</v>
      </c>
      <c r="D21" t="n">
        <v>3542000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M27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2" ht="30" customHeight="1">
      <c r="B2" s="11" t="inlineStr">
        <is>
          <t>Análisis Competitivo — Siemens Healthineers vs. Competencia</t>
        </is>
      </c>
    </row>
    <row r="4" ht="28" customHeight="1">
      <c r="B4" s="6" t="inlineStr">
        <is>
          <t>Market Share por Marca</t>
        </is>
      </c>
      <c r="C4" s="7" t="n"/>
      <c r="D4" s="7" t="n"/>
      <c r="E4" s="7" t="n"/>
      <c r="F4" s="7" t="n"/>
      <c r="H4" s="6" t="inlineStr">
        <is>
          <t>Tasa de Éxito por Marca</t>
        </is>
      </c>
      <c r="I4" s="7" t="n"/>
      <c r="J4" s="7" t="n"/>
      <c r="K4" s="7" t="n"/>
    </row>
    <row r="5" ht="30" customHeight="1">
      <c r="B5" s="8" t="inlineStr">
        <is>
          <t>Marca Ganadora</t>
        </is>
      </c>
      <c r="C5" s="8" t="inlineStr">
        <is>
          <t>Licitaciones</t>
        </is>
      </c>
      <c r="D5" s="8" t="inlineStr">
        <is>
          <t>Monto Total</t>
        </is>
      </c>
      <c r="E5" s="8" t="inlineStr">
        <is>
          <t>Share %</t>
        </is>
      </c>
      <c r="F5" s="8" t="inlineStr">
        <is>
          <t>Monto Mm Usd</t>
        </is>
      </c>
      <c r="H5" s="8" t="inlineStr">
        <is>
          <t>Marca Ganadora</t>
        </is>
      </c>
      <c r="I5" s="8" t="inlineStr">
        <is>
          <t>Participaciones</t>
        </is>
      </c>
      <c r="J5" s="8" t="inlineStr">
        <is>
          <t>Ganadas</t>
        </is>
      </c>
      <c r="K5" s="8" t="inlineStr">
        <is>
          <t>Tasa Exito %</t>
        </is>
      </c>
    </row>
    <row r="6">
      <c r="B6" s="9" t="inlineStr">
        <is>
          <t>Siemens Healthineers</t>
        </is>
      </c>
      <c r="C6" s="9" t="n">
        <v>52</v>
      </c>
      <c r="D6" s="9" t="n">
        <v>44822000</v>
      </c>
      <c r="E6" s="9" t="n">
        <v>32.1</v>
      </c>
      <c r="F6" s="9" t="n">
        <v>44.82</v>
      </c>
      <c r="H6" s="10" t="inlineStr">
        <is>
          <t>Canon Medical</t>
        </is>
      </c>
      <c r="I6" s="10" t="n">
        <v>20</v>
      </c>
      <c r="J6" s="10" t="n">
        <v>20</v>
      </c>
      <c r="K6" s="10" t="n">
        <v>100</v>
      </c>
    </row>
    <row r="7">
      <c r="B7" s="10" t="inlineStr">
        <is>
          <t>Philips Healthcare</t>
        </is>
      </c>
      <c r="C7" s="10" t="n">
        <v>50</v>
      </c>
      <c r="D7" s="10" t="n">
        <v>38576000</v>
      </c>
      <c r="E7" s="10" t="n">
        <v>30.9</v>
      </c>
      <c r="F7" s="10" t="n">
        <v>38.58</v>
      </c>
      <c r="H7" s="9" t="inlineStr">
        <is>
          <t>GE Healthcare</t>
        </is>
      </c>
      <c r="I7" s="9" t="n">
        <v>40</v>
      </c>
      <c r="J7" s="9" t="n">
        <v>40</v>
      </c>
      <c r="K7" s="9" t="n">
        <v>100</v>
      </c>
    </row>
    <row r="8">
      <c r="B8" s="9" t="inlineStr">
        <is>
          <t>GE Healthcare</t>
        </is>
      </c>
      <c r="C8" s="9" t="n">
        <v>40</v>
      </c>
      <c r="D8" s="9" t="n">
        <v>38510000</v>
      </c>
      <c r="E8" s="9" t="n">
        <v>24.7</v>
      </c>
      <c r="F8" s="9" t="n">
        <v>38.51</v>
      </c>
      <c r="H8" s="10" t="inlineStr">
        <is>
          <t>Philips Healthcare</t>
        </is>
      </c>
      <c r="I8" s="10" t="n">
        <v>50</v>
      </c>
      <c r="J8" s="10" t="n">
        <v>50</v>
      </c>
      <c r="K8" s="10" t="n">
        <v>100</v>
      </c>
    </row>
    <row r="9">
      <c r="B9" s="10" t="inlineStr">
        <is>
          <t>Canon Medical</t>
        </is>
      </c>
      <c r="C9" s="10" t="n">
        <v>20</v>
      </c>
      <c r="D9" s="10" t="n">
        <v>11247000</v>
      </c>
      <c r="E9" s="10" t="n">
        <v>12.3</v>
      </c>
      <c r="F9" s="10" t="n">
        <v>11.25</v>
      </c>
      <c r="H9" s="9" t="inlineStr">
        <is>
          <t>Siemens Healthineers</t>
        </is>
      </c>
      <c r="I9" s="9" t="n">
        <v>52</v>
      </c>
      <c r="J9" s="9" t="n">
        <v>52</v>
      </c>
      <c r="K9" s="9" t="n">
        <v>100</v>
      </c>
    </row>
    <row r="16" ht="28" customHeight="1">
      <c r="B16" s="6" t="inlineStr">
        <is>
          <t>Adjudicaciones por País y Tipo de Equipo</t>
        </is>
      </c>
      <c r="C16" s="7" t="n"/>
      <c r="D16" s="7" t="n"/>
      <c r="E16" s="7" t="n"/>
      <c r="F16" s="7" t="n"/>
    </row>
    <row r="17" ht="30" customHeight="1">
      <c r="B17" s="8" t="inlineStr">
        <is>
          <t>Pais</t>
        </is>
      </c>
      <c r="C17" s="8" t="inlineStr">
        <is>
          <t>Tipo Equipo</t>
        </is>
      </c>
      <c r="D17" s="8" t="inlineStr">
        <is>
          <t>N</t>
        </is>
      </c>
      <c r="E17" s="8" t="inlineStr">
        <is>
          <t>Monto Promedio</t>
        </is>
      </c>
      <c r="F17" s="8" t="inlineStr">
        <is>
          <t>Monto Promedio Kusd</t>
        </is>
      </c>
    </row>
    <row r="18">
      <c r="B18" s="10" t="inlineStr">
        <is>
          <t>Ecuador</t>
        </is>
      </c>
      <c r="C18" s="10" t="inlineStr">
        <is>
          <t>Tomógrafo CT 64 cortes</t>
        </is>
      </c>
      <c r="D18" s="10" t="n">
        <v>16</v>
      </c>
      <c r="E18" s="12" t="n">
        <v>354937.5</v>
      </c>
      <c r="F18" s="10" t="n">
        <v>355</v>
      </c>
    </row>
    <row r="19">
      <c r="B19" s="9" t="inlineStr">
        <is>
          <t>Ecuador</t>
        </is>
      </c>
      <c r="C19" s="9" t="inlineStr">
        <is>
          <t>Tomógrafo CT 256 cortes</t>
        </is>
      </c>
      <c r="D19" s="9" t="n">
        <v>12</v>
      </c>
      <c r="E19" s="13" t="n">
        <v>805750</v>
      </c>
      <c r="F19" s="9" t="n">
        <v>806</v>
      </c>
    </row>
    <row r="20">
      <c r="B20" s="10" t="inlineStr">
        <is>
          <t>Ecuador</t>
        </is>
      </c>
      <c r="C20" s="10" t="inlineStr">
        <is>
          <t>Tomógrafo CT 128 cortes</t>
        </is>
      </c>
      <c r="D20" s="10" t="n">
        <v>11</v>
      </c>
      <c r="E20" s="12" t="n">
        <v>561636.3636363636</v>
      </c>
      <c r="F20" s="10" t="n">
        <v>562</v>
      </c>
    </row>
    <row r="21">
      <c r="B21" s="10" t="inlineStr">
        <is>
          <t>Ecuador</t>
        </is>
      </c>
      <c r="C21" s="10" t="inlineStr">
        <is>
          <t>Resonancia Magnética 1.5T</t>
        </is>
      </c>
      <c r="D21" s="10" t="n">
        <v>9</v>
      </c>
      <c r="E21" s="12" t="n">
        <v>889888.8888888889</v>
      </c>
      <c r="F21" s="10" t="n">
        <v>890</v>
      </c>
    </row>
    <row r="22">
      <c r="B22" s="9" t="inlineStr">
        <is>
          <t>Ecuador</t>
        </is>
      </c>
      <c r="C22" s="9" t="inlineStr">
        <is>
          <t>Resonancia Magnética 3T</t>
        </is>
      </c>
      <c r="D22" s="9" t="n">
        <v>9</v>
      </c>
      <c r="E22" s="13" t="n">
        <v>1776000</v>
      </c>
      <c r="F22" s="13" t="n">
        <v>1776</v>
      </c>
    </row>
    <row r="23">
      <c r="B23" s="9" t="inlineStr">
        <is>
          <t>Perú</t>
        </is>
      </c>
      <c r="C23" s="9" t="inlineStr">
        <is>
          <t>Tomógrafo CT 64 cortes</t>
        </is>
      </c>
      <c r="D23" s="9" t="n">
        <v>26</v>
      </c>
      <c r="E23" s="13" t="n">
        <v>355769.2307692308</v>
      </c>
      <c r="F23" s="9" t="n">
        <v>356</v>
      </c>
    </row>
    <row r="24">
      <c r="B24" s="9" t="inlineStr">
        <is>
          <t>Perú</t>
        </is>
      </c>
      <c r="C24" s="9" t="inlineStr">
        <is>
          <t>Tomógrafo CT 128 cortes</t>
        </is>
      </c>
      <c r="D24" s="9" t="n">
        <v>22</v>
      </c>
      <c r="E24" s="13" t="n">
        <v>570045.4545454546</v>
      </c>
      <c r="F24" s="9" t="n">
        <v>570</v>
      </c>
    </row>
    <row r="25">
      <c r="B25" s="10" t="inlineStr">
        <is>
          <t>Perú</t>
        </is>
      </c>
      <c r="C25" s="10" t="inlineStr">
        <is>
          <t>Tomógrafo CT 256 cortes</t>
        </is>
      </c>
      <c r="D25" s="10" t="n">
        <v>22</v>
      </c>
      <c r="E25" s="12" t="n">
        <v>826454.5454545454</v>
      </c>
      <c r="F25" s="10" t="n">
        <v>826</v>
      </c>
    </row>
    <row r="26">
      <c r="B26" s="9" t="inlineStr">
        <is>
          <t>Perú</t>
        </is>
      </c>
      <c r="C26" s="9" t="inlineStr">
        <is>
          <t>Resonancia Magnética 1.5T</t>
        </is>
      </c>
      <c r="D26" s="9" t="n">
        <v>19</v>
      </c>
      <c r="E26" s="13" t="n">
        <v>1007052.631578947</v>
      </c>
      <c r="F26" s="13" t="n">
        <v>1007</v>
      </c>
    </row>
    <row r="27">
      <c r="B27" s="10" t="inlineStr">
        <is>
          <t>Perú</t>
        </is>
      </c>
      <c r="C27" s="10" t="inlineStr">
        <is>
          <t>Resonancia Magnética 3T</t>
        </is>
      </c>
      <c r="D27" s="10" t="n">
        <v>16</v>
      </c>
      <c r="E27" s="12" t="n">
        <v>1783062.5</v>
      </c>
      <c r="F27" s="12" t="n">
        <v>1783</v>
      </c>
    </row>
  </sheetData>
  <mergeCells count="4">
    <mergeCell ref="B4:F4"/>
    <mergeCell ref="H4:K4"/>
    <mergeCell ref="B2:M2"/>
    <mergeCell ref="B16:F1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 ht="28" customHeight="1">
      <c r="A1" s="14" t="inlineStr">
        <is>
          <t>Dashboard Visual — Para importar en Power BI o usar directamente</t>
        </is>
      </c>
    </row>
    <row r="3">
      <c r="A3" s="15" t="inlineStr">
        <is>
          <t>Marca</t>
        </is>
      </c>
      <c r="B3" s="15" t="inlineStr">
        <is>
          <t>Licitaciones</t>
        </is>
      </c>
    </row>
    <row r="4">
      <c r="A4" t="inlineStr">
        <is>
          <t>Siemens Healthineers</t>
        </is>
      </c>
      <c r="B4" t="n">
        <v>52</v>
      </c>
    </row>
    <row r="5">
      <c r="A5" t="inlineStr">
        <is>
          <t>Philips Healthcare</t>
        </is>
      </c>
      <c r="B5" t="n">
        <v>50</v>
      </c>
    </row>
    <row r="6">
      <c r="A6" t="inlineStr">
        <is>
          <t>GE Healthcare</t>
        </is>
      </c>
      <c r="B6" t="n">
        <v>40</v>
      </c>
    </row>
    <row r="7">
      <c r="A7" t="inlineStr">
        <is>
          <t>Canon Medical</t>
        </is>
      </c>
      <c r="B7" t="n">
        <v>20</v>
      </c>
    </row>
    <row r="10">
      <c r="A10" s="15" t="inlineStr">
        <is>
          <t>Año</t>
        </is>
      </c>
      <c r="B10" s="15" t="inlineStr">
        <is>
          <t>CT</t>
        </is>
      </c>
      <c r="C10" s="15" t="inlineStr">
        <is>
          <t>MR</t>
        </is>
      </c>
    </row>
    <row r="11">
      <c r="A11" t="n">
        <v>2020</v>
      </c>
      <c r="B11" t="n">
        <v>28</v>
      </c>
      <c r="C11" t="n">
        <v>10</v>
      </c>
    </row>
    <row r="12">
      <c r="A12" t="n">
        <v>2021</v>
      </c>
      <c r="B12" t="n">
        <v>18</v>
      </c>
      <c r="C12" t="n">
        <v>9</v>
      </c>
    </row>
    <row r="13">
      <c r="A13" t="n">
        <v>2022</v>
      </c>
      <c r="B13" t="n">
        <v>22</v>
      </c>
      <c r="C13" t="n">
        <v>10</v>
      </c>
    </row>
    <row r="14">
      <c r="A14" t="n">
        <v>2023</v>
      </c>
      <c r="B14" t="n">
        <v>21</v>
      </c>
      <c r="C14" t="n">
        <v>12</v>
      </c>
    </row>
    <row r="15">
      <c r="A15" t="n">
        <v>2024</v>
      </c>
      <c r="B15" t="n">
        <v>21</v>
      </c>
      <c r="C15" t="n">
        <v>8</v>
      </c>
    </row>
    <row r="16">
      <c r="A16" t="n">
        <v>2025</v>
      </c>
      <c r="B16" t="n">
        <v>11</v>
      </c>
      <c r="C16" t="n">
        <v>10</v>
      </c>
    </row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K16"/>
  <sheetViews>
    <sheetView showGridLines="0" workbookViewId="0">
      <selection activeCell="A1" sqref="A1"/>
    </sheetView>
  </sheetViews>
  <sheetFormatPr baseColWidth="8" defaultRowHeight="15"/>
  <cols>
    <col width="18" customWidth="1" min="2" max="2"/>
    <col width="80" customWidth="1" min="3" max="3"/>
  </cols>
  <sheetData>
    <row r="2" ht="30" customHeight="1">
      <c r="B2" s="11" t="inlineStr">
        <is>
          <t>Guía: Cómo conectar este Excel a Power BI Desktop</t>
        </is>
      </c>
    </row>
    <row r="4" ht="28" customHeight="1">
      <c r="B4" s="16" t="inlineStr">
        <is>
          <t>PASO 1</t>
        </is>
      </c>
      <c r="C4" s="17" t="inlineStr">
        <is>
          <t>Abrir Power BI Desktop → 'Obtener datos' → 'Excel'</t>
        </is>
      </c>
      <c r="D4" s="18" t="n"/>
      <c r="E4" s="18" t="n"/>
      <c r="F4" s="18" t="n"/>
      <c r="G4" s="18" t="n"/>
      <c r="H4" s="18" t="n"/>
      <c r="I4" s="18" t="n"/>
      <c r="J4" s="19" t="n"/>
    </row>
    <row r="5" ht="28" customHeight="1">
      <c r="B5" s="16" t="inlineStr">
        <is>
          <t>PASO 2</t>
        </is>
      </c>
      <c r="C5" s="20" t="inlineStr">
        <is>
          <t>Seleccionar este archivo → marcar hoja 'Datos_Licitaciones'</t>
        </is>
      </c>
      <c r="D5" s="18" t="n"/>
      <c r="E5" s="18" t="n"/>
      <c r="F5" s="18" t="n"/>
      <c r="G5" s="18" t="n"/>
      <c r="H5" s="18" t="n"/>
      <c r="I5" s="18" t="n"/>
      <c r="J5" s="19" t="n"/>
    </row>
    <row r="6" ht="28" customHeight="1">
      <c r="B6" s="16" t="inlineStr">
        <is>
          <t>PASO 3</t>
        </is>
      </c>
      <c r="C6" s="17" t="inlineStr">
        <is>
          <t>En el editor de Power Query: la columna 'fecha_convocatoria' está en formato fecha ISO — verificar tipo de dato</t>
        </is>
      </c>
      <c r="D6" s="18" t="n"/>
      <c r="E6" s="18" t="n"/>
      <c r="F6" s="18" t="n"/>
      <c r="G6" s="18" t="n"/>
      <c r="H6" s="18" t="n"/>
      <c r="I6" s="18" t="n"/>
      <c r="J6" s="19" t="n"/>
    </row>
    <row r="7" ht="28" customHeight="1">
      <c r="B7" s="16" t="inlineStr">
        <is>
          <t>PASO 4</t>
        </is>
      </c>
      <c r="C7" s="20" t="inlineStr">
        <is>
          <t>Cargar datos → Crear los siguientes visuales recomendados:</t>
        </is>
      </c>
      <c r="D7" s="18" t="n"/>
      <c r="E7" s="18" t="n"/>
      <c r="F7" s="18" t="n"/>
      <c r="G7" s="18" t="n"/>
      <c r="H7" s="18" t="n"/>
      <c r="I7" s="18" t="n"/>
      <c r="J7" s="19" t="n"/>
    </row>
    <row r="8" ht="28" customHeight="1">
      <c r="B8" s="21" t="inlineStr">
        <is>
          <t xml:space="preserve">  Visual 1</t>
        </is>
      </c>
      <c r="C8" s="17" t="inlineStr">
        <is>
          <t>Gráfico de barras: Marca ganadora vs N° licitaciones (filtro: País)</t>
        </is>
      </c>
      <c r="D8" s="18" t="n"/>
      <c r="E8" s="18" t="n"/>
      <c r="F8" s="18" t="n"/>
      <c r="G8" s="18" t="n"/>
      <c r="H8" s="18" t="n"/>
      <c r="I8" s="18" t="n"/>
      <c r="J8" s="19" t="n"/>
    </row>
    <row r="9" ht="28" customHeight="1">
      <c r="B9" s="21" t="inlineStr">
        <is>
          <t xml:space="preserve">  Visual 2</t>
        </is>
      </c>
      <c r="C9" s="20" t="inlineStr">
        <is>
          <t>Gráfico circular: Market share % por marca</t>
        </is>
      </c>
      <c r="D9" s="18" t="n"/>
      <c r="E9" s="18" t="n"/>
      <c r="F9" s="18" t="n"/>
      <c r="G9" s="18" t="n"/>
      <c r="H9" s="18" t="n"/>
      <c r="I9" s="18" t="n"/>
      <c r="J9" s="19" t="n"/>
    </row>
    <row r="10" ht="28" customHeight="1">
      <c r="B10" s="21" t="inlineStr">
        <is>
          <t xml:space="preserve">  Visual 3</t>
        </is>
      </c>
      <c r="C10" s="17" t="inlineStr">
        <is>
          <t>Línea de tendencia: Año vs N° licitaciones (separado por MR/CT)</t>
        </is>
      </c>
      <c r="D10" s="18" t="n"/>
      <c r="E10" s="18" t="n"/>
      <c r="F10" s="18" t="n"/>
      <c r="G10" s="18" t="n"/>
      <c r="H10" s="18" t="n"/>
      <c r="I10" s="18" t="n"/>
      <c r="J10" s="19" t="n"/>
    </row>
    <row r="11" ht="28" customHeight="1">
      <c r="B11" s="21" t="inlineStr">
        <is>
          <t xml:space="preserve">  Visual 4</t>
        </is>
      </c>
      <c r="C11" s="20" t="inlineStr">
        <is>
          <t>Mapa: Región vs Monto total (usar lat/lon si se agrega columna)</t>
        </is>
      </c>
      <c r="D11" s="18" t="n"/>
      <c r="E11" s="18" t="n"/>
      <c r="F11" s="18" t="n"/>
      <c r="G11" s="18" t="n"/>
      <c r="H11" s="18" t="n"/>
      <c r="I11" s="18" t="n"/>
      <c r="J11" s="19" t="n"/>
    </row>
    <row r="12" ht="28" customHeight="1">
      <c r="B12" s="21" t="inlineStr">
        <is>
          <t xml:space="preserve">  Visual 5</t>
        </is>
      </c>
      <c r="C12" s="17" t="inlineStr">
        <is>
          <t>Tabla: Top 10 entidades por monto adjudicado</t>
        </is>
      </c>
      <c r="D12" s="18" t="n"/>
      <c r="E12" s="18" t="n"/>
      <c r="F12" s="18" t="n"/>
      <c r="G12" s="18" t="n"/>
      <c r="H12" s="18" t="n"/>
      <c r="I12" s="18" t="n"/>
      <c r="J12" s="19" t="n"/>
    </row>
    <row r="13" ht="28" customHeight="1">
      <c r="B13" s="21" t="inlineStr">
        <is>
          <t xml:space="preserve">  Visual 6</t>
        </is>
      </c>
      <c r="C13" s="20" t="inlineStr">
        <is>
          <t>Tarjetas KPI: Total licitaciones, Monto total, % Siemens</t>
        </is>
      </c>
      <c r="D13" s="18" t="n"/>
      <c r="E13" s="18" t="n"/>
      <c r="F13" s="18" t="n"/>
      <c r="G13" s="18" t="n"/>
      <c r="H13" s="18" t="n"/>
      <c r="I13" s="18" t="n"/>
      <c r="J13" s="19" t="n"/>
    </row>
    <row r="14" ht="28" customHeight="1">
      <c r="B14" s="16" t="inlineStr">
        <is>
          <t>PASO 5</t>
        </is>
      </c>
      <c r="C14" s="17" t="inlineStr">
        <is>
          <t>Agregar filtros (slicers): País, Año, Modalidad (MR/CT), Estado</t>
        </is>
      </c>
      <c r="D14" s="18" t="n"/>
      <c r="E14" s="18" t="n"/>
      <c r="F14" s="18" t="n"/>
      <c r="G14" s="18" t="n"/>
      <c r="H14" s="18" t="n"/>
      <c r="I14" s="18" t="n"/>
      <c r="J14" s="19" t="n"/>
    </row>
    <row r="15" ht="28" customHeight="1">
      <c r="B15" s="16" t="inlineStr">
        <is>
          <t>PASO 6</t>
        </is>
      </c>
      <c r="C15" s="20" t="inlineStr">
        <is>
          <t>Publicar en Power BI Service → compartir link en portfolio</t>
        </is>
      </c>
      <c r="D15" s="18" t="n"/>
      <c r="E15" s="18" t="n"/>
      <c r="F15" s="18" t="n"/>
      <c r="G15" s="18" t="n"/>
      <c r="H15" s="18" t="n"/>
      <c r="I15" s="18" t="n"/>
      <c r="J15" s="19" t="n"/>
    </row>
    <row r="16" ht="28" customHeight="1">
      <c r="B16" s="21" t="inlineStr">
        <is>
          <t>NOTA</t>
        </is>
      </c>
      <c r="C16" s="17" t="inlineStr">
        <is>
          <t>Para datos reales: descargar CSV del SEACE (seace.gob.pe) y reemplazar hoja Datos_Licitaciones manteniendo los mismos nombres de columna</t>
        </is>
      </c>
      <c r="D16" s="18" t="n"/>
      <c r="E16" s="18" t="n"/>
      <c r="F16" s="18" t="n"/>
      <c r="G16" s="18" t="n"/>
      <c r="H16" s="18" t="n"/>
      <c r="I16" s="18" t="n"/>
      <c r="J16" s="19" t="n"/>
    </row>
  </sheetData>
  <mergeCells count="14">
    <mergeCell ref="C4:J4"/>
    <mergeCell ref="C12:J12"/>
    <mergeCell ref="C7:J7"/>
    <mergeCell ref="C15:J15"/>
    <mergeCell ref="C11:J11"/>
    <mergeCell ref="C6:J6"/>
    <mergeCell ref="C10:J10"/>
    <mergeCell ref="C16:J16"/>
    <mergeCell ref="C14:J14"/>
    <mergeCell ref="C5:J5"/>
    <mergeCell ref="B2:K2"/>
    <mergeCell ref="C13:J13"/>
    <mergeCell ref="C8:J8"/>
    <mergeCell ref="C9:J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2026-04-16T15:51:38Z</dcterms:created>
  <dcterms:modified xmlns:dcterms="http://purl.org/dc/terms/" xmlns:xsi="http://www.w3.org/2001/XMLSchema-instance" xsi:type="dcterms:W3CDTF">2026-04-16T15:52:58Z</dcterms:modified>
</cp:coreProperties>
</file>